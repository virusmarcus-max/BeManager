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rus\OneDrive\Escritorio\"/>
    </mc:Choice>
  </mc:AlternateContent>
  <xr:revisionPtr revIDLastSave="0" documentId="13_ncr:1_{90E70531-5514-4B8D-92C7-94E2C9EC7F40}" xr6:coauthVersionLast="47" xr6:coauthVersionMax="47" xr10:uidLastSave="{00000000-0000-0000-0000-000000000000}"/>
  <bookViews>
    <workbookView xWindow="-120" yWindow="-120" windowWidth="29040" windowHeight="15720" activeTab="1" xr2:uid="{31A1D587-67D5-408B-9093-122B3781C280}"/>
  </bookViews>
  <sheets>
    <sheet name="TOTALES" sheetId="3" r:id="rId1"/>
    <sheet name="Gastos" sheetId="1" r:id="rId2"/>
    <sheet name="Ingreso" sheetId="2" r:id="rId3"/>
    <sheet name="Provisión" sheetId="4" r:id="rId4"/>
  </sheets>
  <definedNames>
    <definedName name="_xlnm._FilterDatabase" localSheetId="1" hidden="1">Gastos!$A$1:$N$276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9" i="3" l="1"/>
  <c r="R19" i="3"/>
  <c r="Q19" i="3"/>
  <c r="S18" i="3"/>
  <c r="R18" i="3"/>
  <c r="Q18" i="3"/>
  <c r="W2" i="3"/>
  <c r="V2" i="3"/>
  <c r="N5" i="3"/>
  <c r="D10" i="2"/>
  <c r="E10" i="2"/>
  <c r="F10" i="2"/>
  <c r="G10" i="2"/>
  <c r="H10" i="2"/>
  <c r="I10" i="2"/>
  <c r="J10" i="2"/>
  <c r="K10" i="2"/>
  <c r="L10" i="2"/>
  <c r="M10" i="2"/>
  <c r="N10" i="2"/>
  <c r="C10" i="2"/>
  <c r="H6" i="3"/>
  <c r="V16" i="3"/>
  <c r="W16" i="3"/>
  <c r="W38" i="3"/>
  <c r="W37" i="3"/>
  <c r="W36" i="3"/>
  <c r="W35" i="3"/>
  <c r="W34" i="3"/>
  <c r="W33" i="3"/>
  <c r="W32" i="3"/>
  <c r="W31" i="3"/>
  <c r="W20" i="3"/>
  <c r="W23" i="3"/>
  <c r="W11" i="3"/>
  <c r="W30" i="3"/>
  <c r="W9" i="3"/>
  <c r="W10" i="3"/>
  <c r="W8" i="3"/>
  <c r="W24" i="3"/>
  <c r="W29" i="3"/>
  <c r="W5" i="3"/>
  <c r="W14" i="3"/>
  <c r="W18" i="3"/>
  <c r="W17" i="3"/>
  <c r="W13" i="3"/>
  <c r="W22" i="3"/>
  <c r="W6" i="3"/>
  <c r="W25" i="3"/>
  <c r="W4" i="3"/>
  <c r="W15" i="3"/>
  <c r="W21" i="3"/>
  <c r="W28" i="3"/>
  <c r="W27" i="3"/>
  <c r="W19" i="3"/>
  <c r="W26" i="3"/>
  <c r="W7" i="3"/>
  <c r="W39" i="3"/>
  <c r="W12" i="3"/>
  <c r="W3" i="3"/>
  <c r="V33" i="3"/>
  <c r="V34" i="3"/>
  <c r="V35" i="3"/>
  <c r="V36" i="3"/>
  <c r="V37" i="3"/>
  <c r="V38" i="3"/>
  <c r="V39" i="3"/>
  <c r="V7" i="3"/>
  <c r="V26" i="3"/>
  <c r="V19" i="3"/>
  <c r="V27" i="3"/>
  <c r="V28" i="3"/>
  <c r="V21" i="3"/>
  <c r="V15" i="3"/>
  <c r="V4" i="3"/>
  <c r="V25" i="3"/>
  <c r="V6" i="3"/>
  <c r="V22" i="3"/>
  <c r="V13" i="3"/>
  <c r="V17" i="3"/>
  <c r="V18" i="3"/>
  <c r="V14" i="3"/>
  <c r="V5" i="3"/>
  <c r="V29" i="3"/>
  <c r="V24" i="3"/>
  <c r="V8" i="3"/>
  <c r="V10" i="3"/>
  <c r="V9" i="3"/>
  <c r="V30" i="3"/>
  <c r="V11" i="3"/>
  <c r="V23" i="3"/>
  <c r="V20" i="3"/>
  <c r="V31" i="3"/>
  <c r="V32" i="3"/>
  <c r="V3" i="3"/>
  <c r="V12" i="3"/>
  <c r="D958" i="4"/>
  <c r="D957" i="4" s="1"/>
  <c r="D956" i="4" s="1"/>
  <c r="D955" i="4" s="1"/>
  <c r="D954" i="4" s="1"/>
  <c r="D953" i="4" s="1"/>
  <c r="D952" i="4" s="1"/>
  <c r="D951" i="4" s="1"/>
  <c r="D950" i="4" s="1"/>
  <c r="D949" i="4" s="1"/>
  <c r="D948" i="4" s="1"/>
  <c r="D947" i="4" s="1"/>
  <c r="D946" i="4" s="1"/>
  <c r="D945" i="4" s="1"/>
  <c r="D944" i="4" s="1"/>
  <c r="D943" i="4" s="1"/>
  <c r="D942" i="4" s="1"/>
  <c r="D941" i="4" s="1"/>
  <c r="D940" i="4" s="1"/>
  <c r="D939" i="4" s="1"/>
  <c r="D938" i="4" s="1"/>
  <c r="D937" i="4" s="1"/>
  <c r="D936" i="4" s="1"/>
  <c r="D935" i="4" s="1"/>
  <c r="D934" i="4" s="1"/>
  <c r="D933" i="4" s="1"/>
  <c r="D932" i="4" s="1"/>
  <c r="D931" i="4" s="1"/>
  <c r="D930" i="4" s="1"/>
  <c r="D929" i="4" s="1"/>
  <c r="D928" i="4" s="1"/>
  <c r="D927" i="4" s="1"/>
  <c r="D926" i="4" s="1"/>
  <c r="D925" i="4" s="1"/>
  <c r="D924" i="4" s="1"/>
  <c r="D923" i="4" s="1"/>
  <c r="D922" i="4" s="1"/>
  <c r="D921" i="4" s="1"/>
  <c r="D920" i="4" s="1"/>
  <c r="D919" i="4" s="1"/>
  <c r="D918" i="4" s="1"/>
  <c r="D917" i="4" s="1"/>
  <c r="D916" i="4" s="1"/>
  <c r="D915" i="4" s="1"/>
  <c r="D914" i="4" s="1"/>
  <c r="D913" i="4" s="1"/>
  <c r="D912" i="4" s="1"/>
  <c r="D911" i="4" s="1"/>
  <c r="D910" i="4" s="1"/>
  <c r="D909" i="4" s="1"/>
  <c r="D908" i="4" s="1"/>
  <c r="D907" i="4" s="1"/>
  <c r="D906" i="4" s="1"/>
  <c r="D905" i="4" s="1"/>
  <c r="D904" i="4" s="1"/>
  <c r="D903" i="4" s="1"/>
  <c r="D902" i="4" s="1"/>
  <c r="D901" i="4" s="1"/>
  <c r="D900" i="4" s="1"/>
  <c r="D899" i="4" s="1"/>
  <c r="D898" i="4" s="1"/>
  <c r="D897" i="4" s="1"/>
  <c r="D896" i="4" s="1"/>
  <c r="D895" i="4" s="1"/>
  <c r="D894" i="4" s="1"/>
  <c r="D893" i="4" s="1"/>
  <c r="D892" i="4" s="1"/>
  <c r="D891" i="4" s="1"/>
  <c r="D890" i="4" s="1"/>
  <c r="D889" i="4" s="1"/>
  <c r="D888" i="4" s="1"/>
  <c r="D887" i="4" s="1"/>
  <c r="D886" i="4" s="1"/>
  <c r="D885" i="4" s="1"/>
  <c r="D884" i="4" s="1"/>
  <c r="D883" i="4" s="1"/>
  <c r="D882" i="4" s="1"/>
  <c r="D881" i="4" s="1"/>
  <c r="D880" i="4" s="1"/>
  <c r="D879" i="4" s="1"/>
  <c r="D878" i="4" s="1"/>
  <c r="D877" i="4" s="1"/>
  <c r="D876" i="4" s="1"/>
  <c r="D875" i="4" s="1"/>
  <c r="D874" i="4" s="1"/>
  <c r="D873" i="4" s="1"/>
  <c r="D872" i="4" s="1"/>
  <c r="D871" i="4" s="1"/>
  <c r="D870" i="4" s="1"/>
  <c r="D869" i="4" s="1"/>
  <c r="D868" i="4" s="1"/>
  <c r="D867" i="4" s="1"/>
  <c r="D866" i="4" s="1"/>
  <c r="D865" i="4" s="1"/>
  <c r="D864" i="4" s="1"/>
  <c r="D863" i="4" s="1"/>
  <c r="D862" i="4" s="1"/>
  <c r="D861" i="4" s="1"/>
  <c r="D860" i="4" s="1"/>
  <c r="D859" i="4" s="1"/>
  <c r="D858" i="4" s="1"/>
  <c r="D857" i="4" s="1"/>
  <c r="D856" i="4" s="1"/>
  <c r="D855" i="4" s="1"/>
  <c r="D854" i="4" s="1"/>
  <c r="D853" i="4" s="1"/>
  <c r="D852" i="4" s="1"/>
  <c r="D851" i="4" s="1"/>
  <c r="D850" i="4" s="1"/>
  <c r="D849" i="4" s="1"/>
  <c r="D848" i="4" s="1"/>
  <c r="D847" i="4" s="1"/>
  <c r="D846" i="4" s="1"/>
  <c r="D845" i="4" s="1"/>
  <c r="D844" i="4" s="1"/>
  <c r="D843" i="4" s="1"/>
  <c r="D842" i="4" s="1"/>
  <c r="D841" i="4" s="1"/>
  <c r="D840" i="4" s="1"/>
  <c r="D839" i="4" s="1"/>
  <c r="D838" i="4" s="1"/>
  <c r="D837" i="4" s="1"/>
  <c r="D836" i="4" s="1"/>
  <c r="D835" i="4" s="1"/>
  <c r="D834" i="4" s="1"/>
  <c r="D833" i="4" s="1"/>
  <c r="D832" i="4" s="1"/>
  <c r="D831" i="4" s="1"/>
  <c r="D830" i="4" s="1"/>
  <c r="D829" i="4" s="1"/>
  <c r="D828" i="4" s="1"/>
  <c r="D827" i="4" s="1"/>
  <c r="D826" i="4" s="1"/>
  <c r="D825" i="4" s="1"/>
  <c r="D824" i="4" s="1"/>
  <c r="D823" i="4" s="1"/>
  <c r="D822" i="4" s="1"/>
  <c r="D821" i="4" s="1"/>
  <c r="D820" i="4" s="1"/>
  <c r="D819" i="4" s="1"/>
  <c r="D818" i="4" s="1"/>
  <c r="D817" i="4" s="1"/>
  <c r="D816" i="4" s="1"/>
  <c r="D815" i="4" s="1"/>
  <c r="D814" i="4" s="1"/>
  <c r="D813" i="4" s="1"/>
  <c r="D812" i="4" s="1"/>
  <c r="D811" i="4" s="1"/>
  <c r="D810" i="4" s="1"/>
  <c r="D809" i="4" s="1"/>
  <c r="D808" i="4" s="1"/>
  <c r="D807" i="4" s="1"/>
  <c r="D806" i="4" s="1"/>
  <c r="D805" i="4" s="1"/>
  <c r="D804" i="4" s="1"/>
  <c r="D803" i="4" s="1"/>
  <c r="D802" i="4" s="1"/>
  <c r="D801" i="4" s="1"/>
  <c r="D800" i="4" s="1"/>
  <c r="D799" i="4" s="1"/>
  <c r="D798" i="4" s="1"/>
  <c r="D797" i="4" s="1"/>
  <c r="D796" i="4" s="1"/>
  <c r="D795" i="4" s="1"/>
  <c r="D794" i="4" s="1"/>
  <c r="D793" i="4" s="1"/>
  <c r="D792" i="4" s="1"/>
  <c r="D791" i="4" s="1"/>
  <c r="D790" i="4" s="1"/>
  <c r="D789" i="4" s="1"/>
  <c r="D788" i="4" s="1"/>
  <c r="D787" i="4" s="1"/>
  <c r="D786" i="4" s="1"/>
  <c r="D785" i="4" s="1"/>
  <c r="D784" i="4" s="1"/>
  <c r="D783" i="4" s="1"/>
  <c r="D782" i="4" s="1"/>
  <c r="D781" i="4" s="1"/>
  <c r="D780" i="4" s="1"/>
  <c r="D779" i="4" s="1"/>
  <c r="D778" i="4" s="1"/>
  <c r="D777" i="4" s="1"/>
  <c r="D776" i="4" s="1"/>
  <c r="D775" i="4" s="1"/>
  <c r="D774" i="4" s="1"/>
  <c r="D773" i="4" s="1"/>
  <c r="D772" i="4" s="1"/>
  <c r="D771" i="4" s="1"/>
  <c r="D770" i="4" s="1"/>
  <c r="D769" i="4" s="1"/>
  <c r="D768" i="4" s="1"/>
  <c r="D767" i="4" s="1"/>
  <c r="D766" i="4" s="1"/>
  <c r="D765" i="4" s="1"/>
  <c r="D764" i="4" s="1"/>
  <c r="D763" i="4" s="1"/>
  <c r="D762" i="4" s="1"/>
  <c r="D761" i="4" s="1"/>
  <c r="D760" i="4" s="1"/>
  <c r="D759" i="4" s="1"/>
  <c r="D758" i="4" s="1"/>
  <c r="D757" i="4" s="1"/>
  <c r="D756" i="4" s="1"/>
  <c r="D755" i="4" s="1"/>
  <c r="D754" i="4" s="1"/>
  <c r="D753" i="4" s="1"/>
  <c r="D752" i="4" s="1"/>
  <c r="D751" i="4" s="1"/>
  <c r="D750" i="4" s="1"/>
  <c r="D749" i="4" s="1"/>
  <c r="D748" i="4" s="1"/>
  <c r="D747" i="4" s="1"/>
  <c r="D746" i="4" s="1"/>
  <c r="D745" i="4" s="1"/>
  <c r="D744" i="4" s="1"/>
  <c r="D743" i="4" s="1"/>
  <c r="D742" i="4" s="1"/>
  <c r="D741" i="4" s="1"/>
  <c r="D740" i="4" s="1"/>
  <c r="D739" i="4" s="1"/>
  <c r="D738" i="4" s="1"/>
  <c r="D737" i="4" s="1"/>
  <c r="D736" i="4" s="1"/>
  <c r="D735" i="4" s="1"/>
  <c r="D734" i="4" s="1"/>
  <c r="D733" i="4" s="1"/>
  <c r="D732" i="4" s="1"/>
  <c r="D731" i="4" s="1"/>
  <c r="D730" i="4" s="1"/>
  <c r="D729" i="4" s="1"/>
  <c r="D728" i="4" s="1"/>
  <c r="D727" i="4" s="1"/>
  <c r="D726" i="4" s="1"/>
  <c r="D725" i="4" s="1"/>
  <c r="D724" i="4" s="1"/>
  <c r="D723" i="4" s="1"/>
  <c r="D722" i="4" s="1"/>
  <c r="D721" i="4" s="1"/>
  <c r="D720" i="4" s="1"/>
  <c r="D719" i="4" s="1"/>
  <c r="D718" i="4" s="1"/>
  <c r="D717" i="4" s="1"/>
  <c r="D716" i="4" s="1"/>
  <c r="D715" i="4" s="1"/>
  <c r="D714" i="4" s="1"/>
  <c r="D713" i="4" s="1"/>
  <c r="D712" i="4" s="1"/>
  <c r="D711" i="4" s="1"/>
  <c r="D710" i="4" s="1"/>
  <c r="D709" i="4" s="1"/>
  <c r="D708" i="4" s="1"/>
  <c r="D707" i="4" s="1"/>
  <c r="D706" i="4" s="1"/>
  <c r="D705" i="4" s="1"/>
  <c r="D704" i="4" s="1"/>
  <c r="D703" i="4" s="1"/>
  <c r="D702" i="4" s="1"/>
  <c r="D701" i="4" s="1"/>
  <c r="D700" i="4" s="1"/>
  <c r="D699" i="4" s="1"/>
  <c r="D698" i="4" s="1"/>
  <c r="D697" i="4" s="1"/>
  <c r="D696" i="4" s="1"/>
  <c r="D695" i="4" s="1"/>
  <c r="D694" i="4" s="1"/>
  <c r="D693" i="4" s="1"/>
  <c r="D692" i="4" s="1"/>
  <c r="D691" i="4" s="1"/>
  <c r="D690" i="4" s="1"/>
  <c r="D689" i="4" s="1"/>
  <c r="D688" i="4" s="1"/>
  <c r="D687" i="4" s="1"/>
  <c r="D686" i="4" s="1"/>
  <c r="D685" i="4" s="1"/>
  <c r="D684" i="4" s="1"/>
  <c r="D683" i="4" s="1"/>
  <c r="D682" i="4" s="1"/>
  <c r="D681" i="4" s="1"/>
  <c r="D680" i="4" s="1"/>
  <c r="D679" i="4" s="1"/>
  <c r="D678" i="4" s="1"/>
  <c r="D677" i="4" s="1"/>
  <c r="D676" i="4" s="1"/>
  <c r="D675" i="4" s="1"/>
  <c r="D674" i="4" s="1"/>
  <c r="D673" i="4" s="1"/>
  <c r="D672" i="4" s="1"/>
  <c r="D671" i="4" s="1"/>
  <c r="D670" i="4" s="1"/>
  <c r="D669" i="4" s="1"/>
  <c r="D668" i="4" s="1"/>
  <c r="D667" i="4" s="1"/>
  <c r="D666" i="4" s="1"/>
  <c r="D665" i="4" s="1"/>
  <c r="D664" i="4" s="1"/>
  <c r="D663" i="4" s="1"/>
  <c r="D662" i="4" s="1"/>
  <c r="D661" i="4" s="1"/>
  <c r="D660" i="4" s="1"/>
  <c r="D659" i="4" s="1"/>
  <c r="D658" i="4" s="1"/>
  <c r="D657" i="4" s="1"/>
  <c r="D656" i="4" s="1"/>
  <c r="D655" i="4" s="1"/>
  <c r="D654" i="4" s="1"/>
  <c r="D653" i="4" s="1"/>
  <c r="D652" i="4" s="1"/>
  <c r="D651" i="4" s="1"/>
  <c r="D650" i="4" s="1"/>
  <c r="D649" i="4" s="1"/>
  <c r="D648" i="4" s="1"/>
  <c r="D647" i="4" s="1"/>
  <c r="D646" i="4" s="1"/>
  <c r="D645" i="4" s="1"/>
  <c r="D644" i="4" s="1"/>
  <c r="D643" i="4" s="1"/>
  <c r="D642" i="4" s="1"/>
  <c r="D641" i="4" s="1"/>
  <c r="D640" i="4" s="1"/>
  <c r="D639" i="4" s="1"/>
  <c r="D638" i="4" s="1"/>
  <c r="D637" i="4" s="1"/>
  <c r="D636" i="4" s="1"/>
  <c r="D635" i="4" s="1"/>
  <c r="D634" i="4" s="1"/>
  <c r="D633" i="4" s="1"/>
  <c r="D632" i="4" s="1"/>
  <c r="D631" i="4" s="1"/>
  <c r="D630" i="4" s="1"/>
  <c r="D629" i="4" s="1"/>
  <c r="D628" i="4" s="1"/>
  <c r="D627" i="4" s="1"/>
  <c r="D626" i="4" s="1"/>
  <c r="D625" i="4" s="1"/>
  <c r="D624" i="4" s="1"/>
  <c r="D623" i="4" s="1"/>
  <c r="D622" i="4" s="1"/>
  <c r="D621" i="4" s="1"/>
  <c r="D620" i="4" s="1"/>
  <c r="D619" i="4" s="1"/>
  <c r="D618" i="4" s="1"/>
  <c r="D617" i="4" s="1"/>
  <c r="D616" i="4" s="1"/>
  <c r="D615" i="4" s="1"/>
  <c r="D614" i="4" s="1"/>
  <c r="D613" i="4" s="1"/>
  <c r="D612" i="4" s="1"/>
  <c r="D611" i="4" s="1"/>
  <c r="D610" i="4" s="1"/>
  <c r="D609" i="4" s="1"/>
  <c r="D608" i="4" s="1"/>
  <c r="D607" i="4" s="1"/>
  <c r="D606" i="4" s="1"/>
  <c r="D605" i="4" s="1"/>
  <c r="D604" i="4" s="1"/>
  <c r="D603" i="4" s="1"/>
  <c r="D602" i="4" s="1"/>
  <c r="D601" i="4" s="1"/>
  <c r="D600" i="4" s="1"/>
  <c r="D599" i="4" s="1"/>
  <c r="D598" i="4" s="1"/>
  <c r="D597" i="4" s="1"/>
  <c r="D596" i="4" s="1"/>
  <c r="D595" i="4" s="1"/>
  <c r="D594" i="4" s="1"/>
  <c r="D593" i="4" s="1"/>
  <c r="D592" i="4" s="1"/>
  <c r="D591" i="4" s="1"/>
  <c r="D590" i="4" s="1"/>
  <c r="D589" i="4" s="1"/>
  <c r="D588" i="4" s="1"/>
  <c r="D587" i="4" s="1"/>
  <c r="D586" i="4" s="1"/>
  <c r="D585" i="4" s="1"/>
  <c r="D584" i="4" s="1"/>
  <c r="D583" i="4" s="1"/>
  <c r="D582" i="4" s="1"/>
  <c r="D581" i="4" s="1"/>
  <c r="D580" i="4" s="1"/>
  <c r="D579" i="4" s="1"/>
  <c r="D578" i="4" s="1"/>
  <c r="D577" i="4" s="1"/>
  <c r="D576" i="4" s="1"/>
  <c r="D575" i="4" s="1"/>
  <c r="D574" i="4" s="1"/>
  <c r="D573" i="4" s="1"/>
  <c r="D572" i="4" s="1"/>
  <c r="D571" i="4" s="1"/>
  <c r="D570" i="4" s="1"/>
  <c r="D569" i="4" s="1"/>
  <c r="D568" i="4" s="1"/>
  <c r="D567" i="4" s="1"/>
  <c r="D566" i="4" s="1"/>
  <c r="D565" i="4" s="1"/>
  <c r="D564" i="4" s="1"/>
  <c r="D563" i="4" s="1"/>
  <c r="D562" i="4" s="1"/>
  <c r="D561" i="4" s="1"/>
  <c r="D560" i="4" s="1"/>
  <c r="D559" i="4" s="1"/>
  <c r="D558" i="4" s="1"/>
  <c r="D557" i="4" s="1"/>
  <c r="D556" i="4" s="1"/>
  <c r="D555" i="4" s="1"/>
  <c r="D554" i="4" s="1"/>
  <c r="D553" i="4" s="1"/>
  <c r="D552" i="4" s="1"/>
  <c r="D551" i="4" s="1"/>
  <c r="D550" i="4" s="1"/>
  <c r="D549" i="4" s="1"/>
  <c r="D548" i="4" s="1"/>
  <c r="D547" i="4" s="1"/>
  <c r="D546" i="4" s="1"/>
  <c r="D545" i="4" s="1"/>
  <c r="D544" i="4" s="1"/>
  <c r="D543" i="4" s="1"/>
  <c r="D542" i="4" s="1"/>
  <c r="D541" i="4" s="1"/>
  <c r="D540" i="4" s="1"/>
  <c r="D539" i="4" s="1"/>
  <c r="D538" i="4" s="1"/>
  <c r="D537" i="4" s="1"/>
  <c r="D536" i="4" s="1"/>
  <c r="D535" i="4" s="1"/>
  <c r="D534" i="4" s="1"/>
  <c r="D533" i="4" s="1"/>
  <c r="D532" i="4" s="1"/>
  <c r="D531" i="4" s="1"/>
  <c r="D530" i="4" s="1"/>
  <c r="D529" i="4" s="1"/>
  <c r="D528" i="4" s="1"/>
  <c r="D527" i="4" s="1"/>
  <c r="D526" i="4" s="1"/>
  <c r="D525" i="4" s="1"/>
  <c r="D524" i="4" s="1"/>
  <c r="D523" i="4" s="1"/>
  <c r="D522" i="4" s="1"/>
  <c r="D521" i="4" s="1"/>
  <c r="D520" i="4" s="1"/>
  <c r="D519" i="4" s="1"/>
  <c r="D518" i="4" s="1"/>
  <c r="D517" i="4" s="1"/>
  <c r="D516" i="4" s="1"/>
  <c r="D515" i="4" s="1"/>
  <c r="D514" i="4" s="1"/>
  <c r="D513" i="4" s="1"/>
  <c r="D512" i="4" s="1"/>
  <c r="D511" i="4" s="1"/>
  <c r="D510" i="4" s="1"/>
  <c r="D509" i="4" s="1"/>
  <c r="D508" i="4" s="1"/>
  <c r="D507" i="4" s="1"/>
  <c r="D506" i="4" s="1"/>
  <c r="D505" i="4" s="1"/>
  <c r="D504" i="4" s="1"/>
  <c r="D503" i="4" s="1"/>
  <c r="D502" i="4" s="1"/>
  <c r="D501" i="4" s="1"/>
  <c r="D500" i="4" s="1"/>
  <c r="D499" i="4" s="1"/>
  <c r="D498" i="4" s="1"/>
  <c r="D497" i="4" s="1"/>
  <c r="D496" i="4" s="1"/>
  <c r="D495" i="4" s="1"/>
  <c r="D494" i="4" s="1"/>
  <c r="D493" i="4" s="1"/>
  <c r="D492" i="4" s="1"/>
  <c r="D491" i="4" s="1"/>
  <c r="D490" i="4" s="1"/>
  <c r="D489" i="4" s="1"/>
  <c r="D488" i="4" s="1"/>
  <c r="D487" i="4" s="1"/>
  <c r="D486" i="4" s="1"/>
  <c r="D485" i="4" s="1"/>
  <c r="D484" i="4" s="1"/>
  <c r="D483" i="4" s="1"/>
  <c r="D482" i="4" s="1"/>
  <c r="D481" i="4" s="1"/>
  <c r="D480" i="4" s="1"/>
  <c r="D479" i="4" s="1"/>
  <c r="D478" i="4" s="1"/>
  <c r="D477" i="4" s="1"/>
  <c r="D476" i="4" s="1"/>
  <c r="D475" i="4" s="1"/>
  <c r="D474" i="4" s="1"/>
  <c r="D473" i="4" s="1"/>
  <c r="D472" i="4" s="1"/>
  <c r="D471" i="4" s="1"/>
  <c r="D470" i="4" s="1"/>
  <c r="D469" i="4" s="1"/>
  <c r="D468" i="4" s="1"/>
  <c r="D467" i="4" s="1"/>
  <c r="D466" i="4" s="1"/>
  <c r="D465" i="4" s="1"/>
  <c r="D464" i="4" s="1"/>
  <c r="D463" i="4" s="1"/>
  <c r="D462" i="4" s="1"/>
  <c r="D461" i="4" s="1"/>
  <c r="D460" i="4" s="1"/>
  <c r="D459" i="4" s="1"/>
  <c r="D458" i="4" s="1"/>
  <c r="D457" i="4" s="1"/>
  <c r="D456" i="4" s="1"/>
  <c r="D455" i="4" s="1"/>
  <c r="D454" i="4" s="1"/>
  <c r="D453" i="4" s="1"/>
  <c r="D452" i="4" s="1"/>
  <c r="D451" i="4" s="1"/>
  <c r="D450" i="4" s="1"/>
  <c r="D449" i="4" s="1"/>
  <c r="D448" i="4" s="1"/>
  <c r="D447" i="4" s="1"/>
  <c r="D446" i="4" s="1"/>
  <c r="D445" i="4" s="1"/>
  <c r="D444" i="4" s="1"/>
  <c r="D443" i="4" s="1"/>
  <c r="D442" i="4" s="1"/>
  <c r="D441" i="4" s="1"/>
  <c r="D440" i="4" s="1"/>
  <c r="D439" i="4" s="1"/>
  <c r="D438" i="4" s="1"/>
  <c r="D437" i="4" s="1"/>
  <c r="D436" i="4" s="1"/>
  <c r="D435" i="4" s="1"/>
  <c r="D434" i="4" s="1"/>
  <c r="D433" i="4" s="1"/>
  <c r="D432" i="4" s="1"/>
  <c r="D431" i="4" s="1"/>
  <c r="D430" i="4" s="1"/>
  <c r="D429" i="4" s="1"/>
  <c r="D428" i="4" s="1"/>
  <c r="D427" i="4" s="1"/>
  <c r="D426" i="4" s="1"/>
  <c r="D425" i="4" s="1"/>
  <c r="D424" i="4" s="1"/>
  <c r="D423" i="4" s="1"/>
  <c r="D422" i="4" s="1"/>
  <c r="D421" i="4" s="1"/>
  <c r="D420" i="4" s="1"/>
  <c r="D419" i="4" s="1"/>
  <c r="D418" i="4" s="1"/>
  <c r="D417" i="4" s="1"/>
  <c r="D416" i="4" s="1"/>
  <c r="D415" i="4" s="1"/>
  <c r="D414" i="4" s="1"/>
  <c r="D413" i="4" s="1"/>
  <c r="D412" i="4" s="1"/>
  <c r="D411" i="4" s="1"/>
  <c r="D410" i="4" s="1"/>
  <c r="D409" i="4" s="1"/>
  <c r="D408" i="4" s="1"/>
  <c r="D407" i="4" s="1"/>
  <c r="D406" i="4" s="1"/>
  <c r="D405" i="4" s="1"/>
  <c r="D404" i="4" s="1"/>
  <c r="D403" i="4" s="1"/>
  <c r="D402" i="4" s="1"/>
  <c r="D401" i="4" s="1"/>
  <c r="D400" i="4" s="1"/>
  <c r="D399" i="4" s="1"/>
  <c r="D398" i="4" s="1"/>
  <c r="D397" i="4" s="1"/>
  <c r="D396" i="4" s="1"/>
  <c r="D395" i="4" s="1"/>
  <c r="D394" i="4" s="1"/>
  <c r="D393" i="4" s="1"/>
  <c r="D392" i="4" s="1"/>
  <c r="D391" i="4" s="1"/>
  <c r="D390" i="4" s="1"/>
  <c r="D389" i="4" s="1"/>
  <c r="D388" i="4" s="1"/>
  <c r="D387" i="4" s="1"/>
  <c r="D386" i="4" s="1"/>
  <c r="D385" i="4" s="1"/>
  <c r="D384" i="4" s="1"/>
  <c r="D383" i="4" s="1"/>
  <c r="D382" i="4" s="1"/>
  <c r="D381" i="4" s="1"/>
  <c r="D380" i="4" s="1"/>
  <c r="D379" i="4" s="1"/>
  <c r="D378" i="4" s="1"/>
  <c r="D377" i="4" s="1"/>
  <c r="D376" i="4" s="1"/>
  <c r="D375" i="4" s="1"/>
  <c r="D374" i="4" s="1"/>
  <c r="D373" i="4" s="1"/>
  <c r="D372" i="4" s="1"/>
  <c r="D371" i="4" s="1"/>
  <c r="D370" i="4" s="1"/>
  <c r="D369" i="4" s="1"/>
  <c r="D368" i="4" s="1"/>
  <c r="D367" i="4" s="1"/>
  <c r="D366" i="4" s="1"/>
  <c r="D365" i="4" s="1"/>
  <c r="D364" i="4" s="1"/>
  <c r="D363" i="4" s="1"/>
  <c r="D362" i="4" s="1"/>
  <c r="D361" i="4" s="1"/>
  <c r="D360" i="4" s="1"/>
  <c r="D359" i="4" s="1"/>
  <c r="D358" i="4" s="1"/>
  <c r="D357" i="4" s="1"/>
  <c r="D356" i="4" s="1"/>
  <c r="D355" i="4" s="1"/>
  <c r="D354" i="4" s="1"/>
  <c r="D353" i="4" s="1"/>
  <c r="D352" i="4" s="1"/>
  <c r="D351" i="4" s="1"/>
  <c r="D350" i="4" s="1"/>
  <c r="D349" i="4" s="1"/>
  <c r="D348" i="4" s="1"/>
  <c r="D347" i="4" s="1"/>
  <c r="D346" i="4" s="1"/>
  <c r="D345" i="4" s="1"/>
  <c r="D344" i="4" s="1"/>
  <c r="D343" i="4" s="1"/>
  <c r="D342" i="4" s="1"/>
  <c r="D341" i="4" s="1"/>
  <c r="D340" i="4" s="1"/>
  <c r="D339" i="4" s="1"/>
  <c r="D338" i="4" s="1"/>
  <c r="D337" i="4" s="1"/>
  <c r="D336" i="4" s="1"/>
  <c r="D335" i="4" s="1"/>
  <c r="D334" i="4" s="1"/>
  <c r="D333" i="4" s="1"/>
  <c r="D332" i="4" s="1"/>
  <c r="D331" i="4" s="1"/>
  <c r="D330" i="4" s="1"/>
  <c r="D329" i="4" s="1"/>
  <c r="D328" i="4" s="1"/>
  <c r="D327" i="4" s="1"/>
  <c r="D326" i="4" s="1"/>
  <c r="D325" i="4" s="1"/>
  <c r="D324" i="4" s="1"/>
  <c r="D323" i="4" s="1"/>
  <c r="D322" i="4" s="1"/>
  <c r="D321" i="4" s="1"/>
  <c r="D320" i="4" s="1"/>
  <c r="D319" i="4" s="1"/>
  <c r="D318" i="4" s="1"/>
  <c r="D317" i="4" s="1"/>
  <c r="D316" i="4" s="1"/>
  <c r="D315" i="4" s="1"/>
  <c r="D314" i="4" s="1"/>
  <c r="D313" i="4" s="1"/>
  <c r="D312" i="4" s="1"/>
  <c r="D311" i="4" s="1"/>
  <c r="D310" i="4" s="1"/>
  <c r="D309" i="4" s="1"/>
  <c r="D308" i="4" s="1"/>
  <c r="D307" i="4" s="1"/>
  <c r="D306" i="4" s="1"/>
  <c r="D305" i="4" s="1"/>
  <c r="D304" i="4" s="1"/>
  <c r="D303" i="4" s="1"/>
  <c r="D302" i="4" s="1"/>
  <c r="D301" i="4" s="1"/>
  <c r="D300" i="4" s="1"/>
  <c r="D299" i="4" s="1"/>
  <c r="D298" i="4" s="1"/>
  <c r="D297" i="4" s="1"/>
  <c r="D296" i="4" s="1"/>
  <c r="D295" i="4" s="1"/>
  <c r="D294" i="4" s="1"/>
  <c r="D293" i="4" s="1"/>
  <c r="D292" i="4" s="1"/>
  <c r="D291" i="4" s="1"/>
  <c r="D290" i="4" s="1"/>
  <c r="D289" i="4" s="1"/>
  <c r="D288" i="4" s="1"/>
  <c r="D287" i="4" s="1"/>
  <c r="D286" i="4" s="1"/>
  <c r="D285" i="4" s="1"/>
  <c r="D284" i="4" s="1"/>
  <c r="D283" i="4" s="1"/>
  <c r="D282" i="4" s="1"/>
  <c r="D281" i="4" s="1"/>
  <c r="D280" i="4" s="1"/>
  <c r="D279" i="4" s="1"/>
  <c r="D278" i="4" s="1"/>
  <c r="D277" i="4" s="1"/>
  <c r="D276" i="4" s="1"/>
  <c r="D275" i="4" s="1"/>
  <c r="D274" i="4" s="1"/>
  <c r="D273" i="4" s="1"/>
  <c r="D272" i="4" s="1"/>
  <c r="D271" i="4" s="1"/>
  <c r="D270" i="4" s="1"/>
  <c r="D269" i="4" s="1"/>
  <c r="D268" i="4" s="1"/>
  <c r="D267" i="4" s="1"/>
  <c r="D266" i="4" s="1"/>
  <c r="D265" i="4" s="1"/>
  <c r="D264" i="4" s="1"/>
  <c r="D263" i="4" s="1"/>
  <c r="D262" i="4" s="1"/>
  <c r="D261" i="4" s="1"/>
  <c r="D260" i="4" s="1"/>
  <c r="D259" i="4" s="1"/>
  <c r="D258" i="4" s="1"/>
  <c r="D257" i="4" s="1"/>
  <c r="D256" i="4" s="1"/>
  <c r="D255" i="4" s="1"/>
  <c r="D254" i="4" s="1"/>
  <c r="D253" i="4" s="1"/>
  <c r="D252" i="4" s="1"/>
  <c r="D251" i="4" s="1"/>
  <c r="D250" i="4" s="1"/>
  <c r="D249" i="4" s="1"/>
  <c r="D248" i="4" s="1"/>
  <c r="D247" i="4" s="1"/>
  <c r="D246" i="4" s="1"/>
  <c r="D245" i="4" s="1"/>
  <c r="D244" i="4" s="1"/>
  <c r="D243" i="4" s="1"/>
  <c r="D242" i="4" s="1"/>
  <c r="D241" i="4" s="1"/>
  <c r="D240" i="4" s="1"/>
  <c r="D239" i="4" s="1"/>
  <c r="D238" i="4" s="1"/>
  <c r="D237" i="4" s="1"/>
  <c r="D236" i="4" s="1"/>
  <c r="D235" i="4" s="1"/>
  <c r="D234" i="4" s="1"/>
  <c r="D233" i="4" s="1"/>
  <c r="D232" i="4" s="1"/>
  <c r="D231" i="4" s="1"/>
  <c r="D230" i="4" s="1"/>
  <c r="D229" i="4" s="1"/>
  <c r="D228" i="4" s="1"/>
  <c r="D227" i="4" s="1"/>
  <c r="D226" i="4" s="1"/>
  <c r="D225" i="4" s="1"/>
  <c r="D224" i="4" s="1"/>
  <c r="D223" i="4" s="1"/>
  <c r="D222" i="4" s="1"/>
  <c r="D221" i="4" s="1"/>
  <c r="D220" i="4" s="1"/>
  <c r="D219" i="4" s="1"/>
  <c r="D218" i="4" s="1"/>
  <c r="D217" i="4" s="1"/>
  <c r="D216" i="4" s="1"/>
  <c r="D215" i="4" s="1"/>
  <c r="D214" i="4" s="1"/>
  <c r="D213" i="4" s="1"/>
  <c r="D212" i="4" s="1"/>
  <c r="D211" i="4" s="1"/>
  <c r="D210" i="4" s="1"/>
  <c r="D209" i="4" s="1"/>
  <c r="D208" i="4" s="1"/>
  <c r="D207" i="4" s="1"/>
  <c r="D206" i="4" s="1"/>
  <c r="D205" i="4" s="1"/>
  <c r="D204" i="4" s="1"/>
  <c r="D203" i="4" s="1"/>
  <c r="D202" i="4" s="1"/>
  <c r="D201" i="4" s="1"/>
  <c r="D200" i="4" s="1"/>
  <c r="D199" i="4" s="1"/>
  <c r="D198" i="4" s="1"/>
  <c r="D197" i="4" s="1"/>
  <c r="D196" i="4" s="1"/>
  <c r="D195" i="4" s="1"/>
  <c r="D194" i="4" s="1"/>
  <c r="D193" i="4" s="1"/>
  <c r="D192" i="4" s="1"/>
  <c r="D191" i="4" s="1"/>
  <c r="D190" i="4" s="1"/>
  <c r="D189" i="4" s="1"/>
  <c r="D188" i="4" s="1"/>
  <c r="D187" i="4" s="1"/>
  <c r="D186" i="4" s="1"/>
  <c r="D185" i="4" s="1"/>
  <c r="D184" i="4" s="1"/>
  <c r="D183" i="4" s="1"/>
  <c r="D182" i="4" s="1"/>
  <c r="D181" i="4" s="1"/>
  <c r="D180" i="4" s="1"/>
  <c r="D179" i="4" s="1"/>
  <c r="D178" i="4" s="1"/>
  <c r="D177" i="4" s="1"/>
  <c r="D176" i="4" s="1"/>
  <c r="D175" i="4" s="1"/>
  <c r="D174" i="4" s="1"/>
  <c r="D173" i="4" s="1"/>
  <c r="D172" i="4" s="1"/>
  <c r="D171" i="4" s="1"/>
  <c r="D170" i="4" s="1"/>
  <c r="D169" i="4" s="1"/>
  <c r="D168" i="4" s="1"/>
  <c r="D167" i="4" s="1"/>
  <c r="D166" i="4" s="1"/>
  <c r="D165" i="4" s="1"/>
  <c r="D164" i="4" s="1"/>
  <c r="D163" i="4" s="1"/>
  <c r="D162" i="4" s="1"/>
  <c r="D161" i="4" s="1"/>
  <c r="D160" i="4" s="1"/>
  <c r="D159" i="4" s="1"/>
  <c r="D158" i="4" s="1"/>
  <c r="D157" i="4" s="1"/>
  <c r="D156" i="4" s="1"/>
  <c r="D155" i="4" s="1"/>
  <c r="D154" i="4" s="1"/>
  <c r="D153" i="4" s="1"/>
  <c r="D152" i="4" s="1"/>
  <c r="D151" i="4" s="1"/>
  <c r="D150" i="4" s="1"/>
  <c r="D149" i="4" s="1"/>
  <c r="D148" i="4" s="1"/>
  <c r="D147" i="4" s="1"/>
  <c r="D146" i="4" s="1"/>
  <c r="D145" i="4" s="1"/>
  <c r="D144" i="4" s="1"/>
  <c r="D143" i="4" s="1"/>
  <c r="D142" i="4" s="1"/>
  <c r="D141" i="4" s="1"/>
  <c r="D140" i="4" s="1"/>
  <c r="D139" i="4" s="1"/>
  <c r="D138" i="4" s="1"/>
  <c r="D137" i="4" s="1"/>
  <c r="D136" i="4" s="1"/>
  <c r="D135" i="4" s="1"/>
  <c r="D134" i="4" s="1"/>
  <c r="D133" i="4" s="1"/>
  <c r="D132" i="4" s="1"/>
  <c r="D131" i="4" s="1"/>
  <c r="D130" i="4" s="1"/>
  <c r="D129" i="4" s="1"/>
  <c r="D128" i="4" s="1"/>
  <c r="D127" i="4" s="1"/>
  <c r="D126" i="4" s="1"/>
  <c r="D125" i="4" s="1"/>
  <c r="D124" i="4" s="1"/>
  <c r="D123" i="4" s="1"/>
  <c r="D122" i="4" s="1"/>
  <c r="D121" i="4" s="1"/>
  <c r="D120" i="4" s="1"/>
  <c r="D119" i="4" s="1"/>
  <c r="D118" i="4" s="1"/>
  <c r="D117" i="4" s="1"/>
  <c r="D116" i="4" s="1"/>
  <c r="D115" i="4" s="1"/>
  <c r="D114" i="4" s="1"/>
  <c r="D113" i="4" s="1"/>
  <c r="D112" i="4" s="1"/>
  <c r="D111" i="4" s="1"/>
  <c r="D110" i="4" s="1"/>
  <c r="D109" i="4" s="1"/>
  <c r="D108" i="4" s="1"/>
  <c r="D107" i="4" s="1"/>
  <c r="D106" i="4" s="1"/>
  <c r="D105" i="4" s="1"/>
  <c r="D104" i="4" s="1"/>
  <c r="D103" i="4" s="1"/>
  <c r="D102" i="4" s="1"/>
  <c r="D101" i="4" s="1"/>
  <c r="D100" i="4" s="1"/>
  <c r="D99" i="4" s="1"/>
  <c r="D98" i="4" s="1"/>
  <c r="D97" i="4" s="1"/>
  <c r="D96" i="4" s="1"/>
  <c r="D95" i="4" s="1"/>
  <c r="D94" i="4" s="1"/>
  <c r="D93" i="4" s="1"/>
  <c r="D92" i="4" s="1"/>
  <c r="D91" i="4" s="1"/>
  <c r="D90" i="4" s="1"/>
  <c r="D89" i="4" s="1"/>
  <c r="D88" i="4" s="1"/>
  <c r="D87" i="4" s="1"/>
  <c r="D86" i="4" s="1"/>
  <c r="D85" i="4" s="1"/>
  <c r="D84" i="4" s="1"/>
  <c r="D83" i="4" s="1"/>
  <c r="D82" i="4" s="1"/>
  <c r="D81" i="4" s="1"/>
  <c r="D80" i="4" s="1"/>
  <c r="D79" i="4" s="1"/>
  <c r="D78" i="4" s="1"/>
  <c r="D77" i="4" s="1"/>
  <c r="D76" i="4" s="1"/>
  <c r="D75" i="4" s="1"/>
  <c r="D74" i="4" s="1"/>
  <c r="D73" i="4" s="1"/>
  <c r="D72" i="4" s="1"/>
  <c r="D71" i="4" s="1"/>
  <c r="D70" i="4" s="1"/>
  <c r="D69" i="4" s="1"/>
  <c r="D68" i="4" s="1"/>
  <c r="D67" i="4" s="1"/>
  <c r="D66" i="4" s="1"/>
  <c r="D65" i="4" s="1"/>
  <c r="D64" i="4" s="1"/>
  <c r="D63" i="4" s="1"/>
  <c r="D62" i="4" s="1"/>
  <c r="D61" i="4" s="1"/>
  <c r="D60" i="4" s="1"/>
  <c r="D59" i="4" s="1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D2" i="4" s="1"/>
  <c r="R6" i="3"/>
  <c r="D1" i="4" s="1"/>
  <c r="S9" i="3" l="1"/>
  <c r="D45" i="1"/>
  <c r="D9" i="3" s="1"/>
  <c r="E45" i="1"/>
  <c r="D10" i="3" s="1"/>
  <c r="F45" i="1"/>
  <c r="D11" i="3" s="1"/>
  <c r="G45" i="1"/>
  <c r="D12" i="3" s="1"/>
  <c r="H45" i="1"/>
  <c r="I45" i="1"/>
  <c r="D14" i="3" s="1"/>
  <c r="J45" i="1"/>
  <c r="D15" i="3" s="1"/>
  <c r="K45" i="1"/>
  <c r="D16" i="3" s="1"/>
  <c r="L45" i="1"/>
  <c r="D17" i="3" s="1"/>
  <c r="M45" i="1"/>
  <c r="D18" i="3" s="1"/>
  <c r="N45" i="1"/>
  <c r="D19" i="3" s="1"/>
  <c r="C45" i="1"/>
  <c r="D8" i="3" s="1"/>
  <c r="I19" i="3"/>
  <c r="I18" i="3"/>
  <c r="I17" i="3"/>
  <c r="I16" i="3"/>
  <c r="I15" i="3"/>
  <c r="I14" i="3"/>
  <c r="I12" i="3"/>
  <c r="I11" i="3"/>
  <c r="I10" i="3"/>
  <c r="I9" i="3"/>
  <c r="I8" i="3"/>
  <c r="N18" i="3" l="1"/>
  <c r="N15" i="3"/>
  <c r="N11" i="3"/>
  <c r="I13" i="3"/>
  <c r="N9" i="3"/>
  <c r="N10" i="3"/>
  <c r="N12" i="3"/>
  <c r="N19" i="3"/>
  <c r="N17" i="3"/>
  <c r="N16" i="3"/>
  <c r="D13" i="3"/>
  <c r="N13" i="3" s="1"/>
  <c r="C6" i="3"/>
  <c r="M6" i="3" s="1"/>
  <c r="N14" i="3"/>
  <c r="N8" i="3"/>
</calcChain>
</file>

<file path=xl/sharedStrings.xml><?xml version="1.0" encoding="utf-8"?>
<sst xmlns="http://schemas.openxmlformats.org/spreadsheetml/2006/main" count="130" uniqueCount="71">
  <si>
    <t>COMUNIDAD</t>
  </si>
  <si>
    <t>HIPOTECA URBANO - CRISTINA</t>
  </si>
  <si>
    <t>BOMBONA GAS</t>
  </si>
  <si>
    <t>ITV COCHE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</si>
  <si>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</si>
  <si>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</si>
  <si>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</si>
  <si>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</si>
  <si>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</si>
  <si>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</si>
  <si>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</si>
  <si>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</si>
  <si>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</si>
  <si>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</si>
  <si>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</si>
  <si>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</si>
  <si>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HIPOTECA A. DE LOS PASTORES</t>
  </si>
  <si>
    <t>SEGURO HOGAR</t>
  </si>
  <si>
    <t>SEGURO COCHE</t>
  </si>
  <si>
    <t>SEGURO DECESOS</t>
  </si>
  <si>
    <t>SEGURO DE VIDA</t>
  </si>
  <si>
    <t>CONTRIBUCIÓN</t>
  </si>
  <si>
    <t>LUZ</t>
  </si>
  <si>
    <t>AGUA</t>
  </si>
  <si>
    <t>INTERNET + MOVIL</t>
  </si>
  <si>
    <t>PLATAFORMA EXTERNA SERIES/ PELIS</t>
  </si>
  <si>
    <t xml:space="preserve">COLEGIO </t>
  </si>
  <si>
    <t>EXTRAS COLEGIO</t>
  </si>
  <si>
    <t>SELLO COCHE</t>
  </si>
  <si>
    <t>CLUB DE CAMPO</t>
  </si>
  <si>
    <t>MENSUAL</t>
  </si>
  <si>
    <t>ANUAL</t>
  </si>
  <si>
    <t>SEMESTRAL (JUNIO - NOVIEMBRE)</t>
  </si>
  <si>
    <t>TRIMESTRAL</t>
  </si>
  <si>
    <t>BIENIO</t>
  </si>
  <si>
    <t>NOMINA MARCO</t>
  </si>
  <si>
    <t>GASTOS</t>
  </si>
  <si>
    <t>INGRESOS</t>
  </si>
  <si>
    <t>PROVISIÓN</t>
  </si>
  <si>
    <t>BALANCE</t>
  </si>
  <si>
    <t>ESTADO ACTUAL</t>
  </si>
  <si>
    <t>GASOLINA COCHE y MOTO</t>
  </si>
  <si>
    <t>Brookling boxin</t>
  </si>
  <si>
    <t>MANTENIMIENTO COCHE</t>
  </si>
  <si>
    <t>REYES Y CUMPLEAÑOS</t>
  </si>
  <si>
    <t>ROPA</t>
  </si>
  <si>
    <t>Seguro MOTO</t>
  </si>
  <si>
    <t>fecha</t>
  </si>
  <si>
    <t>importe</t>
  </si>
  <si>
    <t>Concepto</t>
  </si>
  <si>
    <t>concepto</t>
  </si>
  <si>
    <t>Ultimos movimientos:</t>
  </si>
  <si>
    <t>Gasto mes</t>
  </si>
  <si>
    <t>Faltante mes</t>
  </si>
  <si>
    <t>Faltantes mes</t>
  </si>
  <si>
    <t>AMAZON</t>
  </si>
  <si>
    <t>PRESTAMO MOTO</t>
  </si>
  <si>
    <t>reservas tienda</t>
  </si>
  <si>
    <t>comida</t>
  </si>
  <si>
    <t>SELLO MOTO</t>
  </si>
  <si>
    <t>domiciliado?</t>
  </si>
  <si>
    <t>transf periodica</t>
  </si>
  <si>
    <t>cambiar cuenta</t>
  </si>
  <si>
    <t>dev prestamo mama</t>
  </si>
  <si>
    <t>dentista</t>
  </si>
  <si>
    <t>2º trimestre</t>
  </si>
  <si>
    <t>me lo pidio estando en la playa, bizum</t>
  </si>
  <si>
    <t>RUBEN</t>
  </si>
  <si>
    <t>cobros cuenta</t>
  </si>
  <si>
    <t>comida, gaso y cumple revolut</t>
  </si>
  <si>
    <t>mis gastos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</si>
</sst>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#,##0\ &quot;€&quot;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Bell MT"/>
      <family val="1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1"/>
      <name val="Bahnschrift SemiBold Condensed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C121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3" fillId="2" borderId="1" xfId="0" applyFont="1" applyFill="1" applyBorder="1"/>
    <xf numFmtId="0" fontId="4" fillId="4" borderId="1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6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5" fontId="0" fillId="0" borderId="0" xfId="0" applyNumberFormat="1"/>
    <xf numFmtId="165" fontId="0" fillId="0" borderId="11" xfId="0" applyNumberFormat="1" applyBorder="1"/>
    <xf numFmtId="14" fontId="0" fillId="0" borderId="0" xfId="0" applyNumberFormat="1"/>
    <xf numFmtId="0" fontId="0" fillId="0" borderId="13" xfId="0" applyBorder="1"/>
    <xf numFmtId="164" fontId="0" fillId="0" borderId="13" xfId="0" applyNumberFormat="1" applyBorder="1"/>
    <xf numFmtId="14" fontId="0" fillId="0" borderId="5" xfId="0" applyNumberFormat="1" applyBorder="1"/>
    <xf numFmtId="0" fontId="0" fillId="0" borderId="2" xfId="0" applyBorder="1"/>
    <xf numFmtId="0" fontId="0" fillId="0" borderId="4" xfId="0" applyBorder="1"/>
    <xf numFmtId="14" fontId="0" fillId="0" borderId="10" xfId="0" applyNumberFormat="1" applyBorder="1"/>
    <xf numFmtId="165" fontId="0" fillId="0" borderId="6" xfId="0" applyNumberFormat="1" applyBorder="1"/>
    <xf numFmtId="14" fontId="0" fillId="0" borderId="0" xfId="0" applyNumberFormat="1" applyAlignment="1">
      <alignment horizontal="left"/>
    </xf>
    <xf numFmtId="0" fontId="11" fillId="0" borderId="0" xfId="0" applyFont="1" applyAlignment="1">
      <alignment horizontal="center" vertical="center"/>
    </xf>
    <xf numFmtId="164" fontId="0" fillId="0" borderId="14" xfId="0" applyNumberFormat="1" applyBorder="1"/>
    <xf numFmtId="0" fontId="0" fillId="0" borderId="14" xfId="0" applyBorder="1"/>
    <xf numFmtId="0" fontId="12" fillId="0" borderId="1" xfId="0" applyFont="1" applyBorder="1" applyAlignment="1">
      <alignment horizontal="center"/>
    </xf>
    <xf numFmtId="14" fontId="12" fillId="0" borderId="0" xfId="0" applyNumberFormat="1" applyFont="1" applyAlignment="1">
      <alignment horizontal="center"/>
    </xf>
    <xf numFmtId="164" fontId="13" fillId="0" borderId="0" xfId="0" applyNumberFormat="1" applyFont="1"/>
    <xf numFmtId="0" fontId="8" fillId="0" borderId="0" xfId="0" applyFont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12" fillId="0" borderId="16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/>
    </xf>
    <xf numFmtId="0" fontId="12" fillId="0" borderId="17" xfId="0" applyFont="1" applyBorder="1" applyAlignment="1">
      <alignment horizontal="center" vertical="center"/>
    </xf>
    <xf numFmtId="165" fontId="0" fillId="0" borderId="14" xfId="0" applyNumberFormat="1" applyBorder="1" applyAlignment="1">
      <alignment horizontal="left" vertical="center"/>
    </xf>
    <xf numFmtId="164" fontId="8" fillId="2" borderId="1" xfId="0" applyNumberFormat="1" applyFont="1" applyFill="1" applyBorder="1"/>
    <xf numFmtId="164" fontId="8" fillId="0" borderId="18" xfId="0" applyNumberFormat="1" applyFont="1" applyBorder="1"/>
    <xf numFmtId="164" fontId="7" fillId="2" borderId="1" xfId="0" applyNumberFormat="1" applyFont="1" applyFill="1" applyBorder="1"/>
    <xf numFmtId="164" fontId="0" fillId="2" borderId="1" xfId="0" applyNumberFormat="1" applyFill="1" applyBorder="1"/>
    <xf numFmtId="164" fontId="0" fillId="9" borderId="0" xfId="0" applyNumberFormat="1" applyFill="1"/>
    <xf numFmtId="164" fontId="8" fillId="9" borderId="1" xfId="0" applyNumberFormat="1" applyFont="1" applyFill="1" applyBorder="1"/>
    <xf numFmtId="164" fontId="8" fillId="5" borderId="1" xfId="0" applyNumberFormat="1" applyFont="1" applyFill="1" applyBorder="1"/>
    <xf numFmtId="164" fontId="8" fillId="10" borderId="1" xfId="0" applyNumberFormat="1" applyFont="1" applyFill="1" applyBorder="1"/>
    <xf numFmtId="164" fontId="8" fillId="4" borderId="1" xfId="0" applyNumberFormat="1" applyFont="1" applyFill="1" applyBorder="1"/>
    <xf numFmtId="164" fontId="7" fillId="4" borderId="1" xfId="0" applyNumberFormat="1" applyFont="1" applyFill="1" applyBorder="1"/>
    <xf numFmtId="164" fontId="8" fillId="11" borderId="1" xfId="0" applyNumberFormat="1" applyFont="1" applyFill="1" applyBorder="1"/>
    <xf numFmtId="14" fontId="0" fillId="0" borderId="1" xfId="0" applyNumberFormat="1" applyBorder="1"/>
    <xf numFmtId="0" fontId="0" fillId="2" borderId="0" xfId="0" applyFill="1"/>
    <xf numFmtId="0" fontId="13" fillId="0" borderId="5" xfId="0" applyFont="1" applyBorder="1" applyAlignment="1">
      <alignment horizontal="right"/>
    </xf>
    <xf numFmtId="0" fontId="13" fillId="0" borderId="6" xfId="0" applyFont="1" applyBorder="1" applyAlignment="1">
      <alignment horizontal="right"/>
    </xf>
    <xf numFmtId="165" fontId="13" fillId="0" borderId="6" xfId="0" applyNumberFormat="1" applyFont="1" applyBorder="1" applyAlignment="1">
      <alignment horizontal="left" vertical="center"/>
    </xf>
    <xf numFmtId="165" fontId="13" fillId="0" borderId="7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165" fontId="9" fillId="0" borderId="5" xfId="0" applyNumberFormat="1" applyFont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6" fillId="0" borderId="5" xfId="0" applyNumberFormat="1" applyFont="1" applyBorder="1" applyAlignment="1">
      <alignment horizontal="center"/>
    </xf>
    <xf numFmtId="165" fontId="6" fillId="0" borderId="7" xfId="0" applyNumberFormat="1" applyFont="1" applyBorder="1" applyAlignment="1">
      <alignment horizontal="center"/>
    </xf>
    <xf numFmtId="165" fontId="6" fillId="0" borderId="10" xfId="0" applyNumberFormat="1" applyFont="1" applyBorder="1" applyAlignment="1">
      <alignment horizontal="center"/>
    </xf>
    <xf numFmtId="165" fontId="6" fillId="0" borderId="12" xfId="0" applyNumberFormat="1" applyFont="1" applyBorder="1" applyAlignment="1">
      <alignment horizontal="center"/>
    </xf>
    <xf numFmtId="165" fontId="10" fillId="0" borderId="5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10" xfId="0" applyNumberFormat="1" applyFont="1" applyBorder="1" applyAlignment="1">
      <alignment horizontal="center"/>
    </xf>
    <xf numFmtId="165" fontId="10" fillId="0" borderId="12" xfId="0" applyNumberFormat="1" applyFont="1" applyBorder="1" applyAlignment="1">
      <alignment horizont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0" fontId="11" fillId="8" borderId="7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/>
    </xf>
    <xf numFmtId="0" fontId="11" fillId="8" borderId="11" xfId="0" applyFont="1" applyFill="1" applyBorder="1" applyAlignment="1">
      <alignment horizontal="center" vertical="center"/>
    </xf>
    <xf numFmtId="0" fontId="11" fillId="8" borderId="12" xfId="0" applyFont="1" applyFill="1" applyBorder="1" applyAlignment="1">
      <alignment horizontal="center" vertical="center"/>
    </xf>
    <xf numFmtId="0" fontId="0" fillId="12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164" fontId="8" fillId="6" borderId="1" xfId="0" applyNumberFormat="1" applyFont="1" applyFill="1" applyBorder="1"/>
    <xf numFmtId="164" fontId="7" fillId="13" borderId="1" xfId="0" applyNumberFormat="1" applyFont="1" applyFill="1" applyBorder="1"/>
    <xf numFmtId="164" fontId="8" fillId="13" borderId="1" xfId="0" applyNumberFormat="1" applyFont="1" applyFill="1" applyBorder="1"/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\ &quot;€&quot;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44450</xdr:colOff>
      <xdr:row>12</xdr:row>
      <xdr:rowOff>158750</xdr:rowOff>
    </xdr:from>
    <xdr:to>
      <xdr:col>18</xdr:col>
      <xdr:colOff>673100</xdr:colOff>
      <xdr:row>15</xdr:row>
      <xdr:rowOff>19050</xdr:rowOff>
    </xdr:to>
    <xdr:sp macro="[0]!Macro3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A0F164A-6986-FAFC-DC3D-5F70BF2055B1}"/>
            </a:ext>
          </a:extLst>
        </xdr:cNvPr>
        <xdr:cNvSpPr/>
      </xdr:nvSpPr>
      <xdr:spPr>
        <a:xfrm>
          <a:off x="7302500" y="2698750"/>
          <a:ext cx="1390650" cy="41275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/>
            <a:t>AÑADIR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E7F10A-E5B1-48D6-964C-6F2D024BFC99}" name="Tabla3" displayName="Tabla3" ref="V1:W40" totalsRowShown="0" headerRowDxfId="3" tableBorderDxfId="2">
  <autoFilter ref="V1:W40" xr:uid="{61E7F10A-E5B1-48D6-964C-6F2D024BFC99}"/>
  <sortState xmlns:xlrd2="http://schemas.microsoft.com/office/spreadsheetml/2017/richdata2" ref="V2:W40">
    <sortCondition descending="1" ref="W1:W40"/>
  </sortState>
  <tableColumns count="2">
    <tableColumn id="1" xr3:uid="{FD942061-BB6F-4E12-893E-1A8D95F327F8}" name="Gasto mes" dataDxfId="1">
      <calculatedColumnFormula>Gastos!B1</calculatedColumnFormula>
    </tableColumn>
    <tableColumn id="2" xr3:uid="{F51E4614-240D-4672-8EF8-ABD6186F2F29}" name="importe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12ACB-DCC9-4F99-8DFF-09435BFA8E2B}">
  <sheetPr codeName="Hoja4">
    <pageSetUpPr fitToPage="1"/>
  </sheetPr>
  <dimension ref="B1:W40"/>
  <sheetViews>
    <sheetView showGridLines="0" zoomScale="92" workbookViewId="0">
      <selection activeCell="S12" sqref="S12"/>
    </sheetView>
  </sheetViews>
  <sheetFormatPr baseColWidth="10" defaultRowHeight="15" x14ac:dyDescent="0.25"/>
  <cols>
    <col min="1" max="1" width="1" customWidth="1"/>
    <col min="2" max="2" width="1.42578125" customWidth="1"/>
    <col min="4" max="4" width="11.85546875" customWidth="1"/>
    <col min="5" max="5" width="1.42578125" customWidth="1"/>
    <col min="6" max="6" width="1" customWidth="1"/>
    <col min="7" max="7" width="1.28515625" customWidth="1"/>
    <col min="10" max="10" width="1.42578125" customWidth="1"/>
    <col min="11" max="11" width="1.140625" customWidth="1"/>
    <col min="12" max="12" width="3.42578125" customWidth="1"/>
    <col min="15" max="15" width="4.42578125" customWidth="1"/>
    <col min="16" max="16" width="1.42578125" customWidth="1"/>
    <col min="17" max="17" width="10.5703125" customWidth="1"/>
    <col min="18" max="18" width="9.28515625" customWidth="1"/>
    <col min="19" max="19" width="21.140625" customWidth="1"/>
    <col min="20" max="20" width="1.5703125" customWidth="1"/>
    <col min="21" max="21" width="1.85546875" customWidth="1"/>
    <col min="22" max="22" width="25.5703125" style="36" customWidth="1"/>
    <col min="23" max="23" width="11.42578125" style="36" customWidth="1"/>
  </cols>
  <sheetData>
    <row r="1" spans="2:23" ht="27" customHeight="1" thickBot="1" x14ac:dyDescent="0.3">
      <c r="B1" s="66" t="s">
        <v>9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8"/>
      <c r="V1" s="41" t="s">
        <v>52</v>
      </c>
      <c r="W1" s="41" t="s">
        <v>48</v>
      </c>
    </row>
    <row r="2" spans="2:23" ht="15.75" thickBot="1" x14ac:dyDescent="0.3">
      <c r="V2" s="42" t="str">
        <f>Gastos!B6</f>
        <v>comida</v>
      </c>
      <c r="W2" s="44">
        <f>HLOOKUP($B$1,Gastos!$C$1:$N$64,6,FALSE)</f>
        <v>350</v>
      </c>
    </row>
    <row r="3" spans="2:23" s="15" customFormat="1" ht="15.95" customHeight="1" x14ac:dyDescent="0.25">
      <c r="B3" s="69" t="s">
        <v>36</v>
      </c>
      <c r="C3" s="70"/>
      <c r="D3" s="70"/>
      <c r="E3" s="71"/>
      <c r="F3" s="30"/>
      <c r="G3" s="75" t="s">
        <v>37</v>
      </c>
      <c r="H3" s="76"/>
      <c r="I3" s="76"/>
      <c r="J3" s="77"/>
      <c r="K3" s="30"/>
      <c r="L3" s="81" t="s">
        <v>39</v>
      </c>
      <c r="M3" s="82"/>
      <c r="N3" s="82"/>
      <c r="O3" s="83"/>
      <c r="P3" s="30"/>
      <c r="Q3" s="99" t="s">
        <v>38</v>
      </c>
      <c r="R3" s="100"/>
      <c r="S3" s="100"/>
      <c r="T3" s="101"/>
      <c r="V3" s="39" t="str">
        <f>Gastos!B3</f>
        <v>HIPOTECA URBANO - CRISTINA</v>
      </c>
      <c r="W3" s="40">
        <f>HLOOKUP($B$1,Gastos!$C$1:$N$64,3,FALSE)</f>
        <v>300</v>
      </c>
    </row>
    <row r="4" spans="2:23" s="15" customFormat="1" ht="15.95" customHeight="1" thickBot="1" x14ac:dyDescent="0.3">
      <c r="B4" s="72"/>
      <c r="C4" s="73"/>
      <c r="D4" s="73"/>
      <c r="E4" s="74"/>
      <c r="F4" s="30"/>
      <c r="G4" s="78"/>
      <c r="H4" s="79"/>
      <c r="I4" s="79"/>
      <c r="J4" s="80"/>
      <c r="K4" s="30"/>
      <c r="L4" s="84"/>
      <c r="M4" s="85"/>
      <c r="N4" s="85"/>
      <c r="O4" s="86"/>
      <c r="P4" s="30"/>
      <c r="Q4" s="102"/>
      <c r="R4" s="103"/>
      <c r="S4" s="103"/>
      <c r="T4" s="104"/>
      <c r="V4" s="37" t="str">
        <f>Gastos!B14</f>
        <v>PRESTAMO MOTO</v>
      </c>
      <c r="W4" s="38">
        <f>HLOOKUP($B$1,Gastos!$C$1:$N$64,14,FALSE)</f>
        <v>173.64</v>
      </c>
    </row>
    <row r="5" spans="2:23" ht="16.5" thickBot="1" x14ac:dyDescent="0.3">
      <c r="B5" s="7"/>
      <c r="C5" s="8"/>
      <c r="D5" s="8"/>
      <c r="E5" s="9"/>
      <c r="G5" s="10"/>
      <c r="J5" s="11"/>
      <c r="L5" s="58" t="s">
        <v>54</v>
      </c>
      <c r="M5" s="59"/>
      <c r="N5" s="60">
        <f>HLOOKUP($B$1,Ingreso!$C$1:$N$64,4,FALSE)</f>
        <v>0</v>
      </c>
      <c r="O5" s="61"/>
      <c r="Q5" s="10"/>
      <c r="R5" t="s">
        <v>40</v>
      </c>
      <c r="T5" s="11"/>
      <c r="V5" s="37" t="str">
        <f>Gastos!B22</f>
        <v>EXTRAS COLEGIO</v>
      </c>
      <c r="W5" s="38">
        <f>HLOOKUP($B$1,Gastos!$C$1:$N$64,22,FALSE)</f>
        <v>100</v>
      </c>
    </row>
    <row r="6" spans="2:23" x14ac:dyDescent="0.25">
      <c r="B6" s="10"/>
      <c r="C6" s="87">
        <f>HLOOKUP($B$1,Gastos!$C$1:$N$64,45,FALSE)</f>
        <v>1335.39</v>
      </c>
      <c r="D6" s="88"/>
      <c r="E6" s="11"/>
      <c r="G6" s="10"/>
      <c r="H6" s="91">
        <f>HLOOKUP($B$1,Ingreso!$C$1:$N$64,10,FALSE)</f>
        <v>2500</v>
      </c>
      <c r="I6" s="92"/>
      <c r="J6" s="11"/>
      <c r="L6" s="10"/>
      <c r="M6" s="95">
        <f>H6-C6-N5</f>
        <v>1164.6099999999999</v>
      </c>
      <c r="N6" s="96"/>
      <c r="O6" s="11"/>
      <c r="Q6" s="10"/>
      <c r="R6" s="91">
        <f>SUM(Provisión!B:B)</f>
        <v>0</v>
      </c>
      <c r="S6" s="92"/>
      <c r="T6" s="11"/>
      <c r="V6" s="37" t="str">
        <f>Gastos!B16</f>
        <v>LUZ</v>
      </c>
      <c r="W6" s="38">
        <f>HLOOKUP($B$1,Gastos!$C$1:$N$64,16,FALSE)</f>
        <v>90</v>
      </c>
    </row>
    <row r="7" spans="2:23" ht="15.75" thickBot="1" x14ac:dyDescent="0.3">
      <c r="B7" s="10"/>
      <c r="C7" s="89"/>
      <c r="D7" s="90"/>
      <c r="E7" s="11"/>
      <c r="G7" s="10"/>
      <c r="H7" s="93"/>
      <c r="I7" s="94"/>
      <c r="J7" s="11"/>
      <c r="L7" s="10"/>
      <c r="M7" s="97"/>
      <c r="N7" s="98"/>
      <c r="O7" s="11"/>
      <c r="Q7" s="10"/>
      <c r="R7" s="93"/>
      <c r="S7" s="94"/>
      <c r="T7" s="11"/>
      <c r="V7" s="37" t="str">
        <f>Gastos!B7</f>
        <v>GASOLINA COCHE y MOTO</v>
      </c>
      <c r="W7" s="38">
        <f>HLOOKUP($B$1,Gastos!$C$1:$N$64,7,FALSE)</f>
        <v>80</v>
      </c>
    </row>
    <row r="8" spans="2:23" x14ac:dyDescent="0.25">
      <c r="B8" s="10"/>
      <c r="C8" t="s">
        <v>4</v>
      </c>
      <c r="D8" s="19">
        <f>Gastos!C45</f>
        <v>56</v>
      </c>
      <c r="E8" s="11"/>
      <c r="G8" s="10"/>
      <c r="H8" t="s">
        <v>4</v>
      </c>
      <c r="I8" s="19">
        <f>Ingreso!C10</f>
        <v>2482.67</v>
      </c>
      <c r="J8" s="11"/>
      <c r="L8" s="10"/>
      <c r="M8" t="s">
        <v>4</v>
      </c>
      <c r="N8" s="19">
        <f>I8-D8</f>
        <v>2426.67</v>
      </c>
      <c r="O8" s="11"/>
      <c r="Q8" s="10"/>
      <c r="T8" s="11"/>
      <c r="V8" s="37" t="str">
        <f>Gastos!B25</f>
        <v>CLUB DE CAMPO</v>
      </c>
      <c r="W8" s="38">
        <f>HLOOKUP($B$1,Gastos!$C$1:$N$64,25,FALSE)</f>
        <v>67.5</v>
      </c>
    </row>
    <row r="9" spans="2:23" ht="15.75" thickBot="1" x14ac:dyDescent="0.3">
      <c r="B9" s="10"/>
      <c r="C9" t="s">
        <v>5</v>
      </c>
      <c r="D9" s="19">
        <f>Gastos!D45</f>
        <v>0</v>
      </c>
      <c r="E9" s="11"/>
      <c r="G9" s="10"/>
      <c r="H9" t="s">
        <v>5</v>
      </c>
      <c r="I9" s="19">
        <f>Ingreso!D10</f>
        <v>2281</v>
      </c>
      <c r="J9" s="11"/>
      <c r="L9" s="10"/>
      <c r="M9" t="s">
        <v>5</v>
      </c>
      <c r="N9" s="19">
        <f t="shared" ref="N9:N19" si="0">I9-D9</f>
        <v>2281</v>
      </c>
      <c r="O9" s="11"/>
      <c r="Q9" s="10"/>
      <c r="R9" t="s">
        <v>47</v>
      </c>
      <c r="S9" s="29">
        <f ca="1">TODAY()</f>
        <v>45867</v>
      </c>
      <c r="T9" s="11"/>
      <c r="V9" s="37" t="str">
        <f>Gastos!B27</f>
        <v>reservas tienda</v>
      </c>
      <c r="W9" s="38">
        <f>HLOOKUP($B$1,Gastos!$C$1:$N$64,27,FALSE)</f>
        <v>60</v>
      </c>
    </row>
    <row r="10" spans="2:23" ht="15.75" thickBot="1" x14ac:dyDescent="0.3">
      <c r="B10" s="10"/>
      <c r="C10" t="s">
        <v>6</v>
      </c>
      <c r="D10" s="19">
        <f>Gastos!E45</f>
        <v>0</v>
      </c>
      <c r="E10" s="11"/>
      <c r="G10" s="10"/>
      <c r="H10" t="s">
        <v>6</v>
      </c>
      <c r="I10" s="19">
        <f>Ingreso!E10</f>
        <v>2360</v>
      </c>
      <c r="J10" s="11"/>
      <c r="L10" s="10"/>
      <c r="M10" t="s">
        <v>6</v>
      </c>
      <c r="N10" s="19">
        <f t="shared" si="0"/>
        <v>2360</v>
      </c>
      <c r="O10" s="11"/>
      <c r="Q10" s="10"/>
      <c r="R10" t="s">
        <v>48</v>
      </c>
      <c r="S10" s="23">
        <v>1000</v>
      </c>
      <c r="T10" s="11"/>
      <c r="V10" s="37" t="str">
        <f>Gastos!B26</f>
        <v>Brookling boxin</v>
      </c>
      <c r="W10" s="38">
        <f>HLOOKUP($B$1,Gastos!$C$1:$N$64,26,FALSE)</f>
        <v>59.99</v>
      </c>
    </row>
    <row r="11" spans="2:23" ht="15.75" thickBot="1" x14ac:dyDescent="0.3">
      <c r="B11" s="10"/>
      <c r="C11" t="s">
        <v>7</v>
      </c>
      <c r="D11" s="19">
        <f>Gastos!F45</f>
        <v>0</v>
      </c>
      <c r="E11" s="11"/>
      <c r="G11" s="10"/>
      <c r="H11" t="s">
        <v>7</v>
      </c>
      <c r="I11" s="19">
        <f>Ingreso!F10</f>
        <v>2360</v>
      </c>
      <c r="J11" s="11"/>
      <c r="L11" s="10"/>
      <c r="M11" t="s">
        <v>7</v>
      </c>
      <c r="N11" s="19">
        <f t="shared" si="0"/>
        <v>2360</v>
      </c>
      <c r="O11" s="11"/>
      <c r="Q11" s="10"/>
      <c r="T11" s="11"/>
      <c r="V11" s="37" t="str">
        <f>Gastos!B29</f>
        <v>SELLO MOTO</v>
      </c>
      <c r="W11" s="38">
        <f>HLOOKUP($B$1,Gastos!$C$1:$N$64,29,FALSE)</f>
        <v>59.67</v>
      </c>
    </row>
    <row r="12" spans="2:23" ht="15.75" thickBot="1" x14ac:dyDescent="0.3">
      <c r="B12" s="10"/>
      <c r="C12" t="s">
        <v>8</v>
      </c>
      <c r="D12" s="19">
        <f>Gastos!G45</f>
        <v>1577.02</v>
      </c>
      <c r="E12" s="11"/>
      <c r="G12" s="10"/>
      <c r="H12" t="s">
        <v>8</v>
      </c>
      <c r="I12" s="19">
        <f>Ingreso!G10</f>
        <v>2360</v>
      </c>
      <c r="J12" s="11"/>
      <c r="L12" s="10"/>
      <c r="M12" t="s">
        <v>8</v>
      </c>
      <c r="N12" s="19">
        <f t="shared" si="0"/>
        <v>782.98</v>
      </c>
      <c r="O12" s="11"/>
      <c r="Q12" s="10"/>
      <c r="R12" t="s">
        <v>49</v>
      </c>
      <c r="S12" s="22"/>
      <c r="T12" s="11"/>
      <c r="V12" s="37" t="str">
        <f>Gastos!B4</f>
        <v>BOMBONA GAS</v>
      </c>
      <c r="W12" s="38">
        <f>HLOOKUP($B$1,Gastos!$C$1:$N$64,4,FALSE)</f>
        <v>50</v>
      </c>
    </row>
    <row r="13" spans="2:23" x14ac:dyDescent="0.25">
      <c r="B13" s="10"/>
      <c r="C13" t="s">
        <v>9</v>
      </c>
      <c r="D13" s="19">
        <f>Gastos!H45</f>
        <v>1335.39</v>
      </c>
      <c r="E13" s="11"/>
      <c r="G13" s="10"/>
      <c r="H13" t="s">
        <v>9</v>
      </c>
      <c r="I13" s="19">
        <f>Ingreso!H10</f>
        <v>2500</v>
      </c>
      <c r="J13" s="11"/>
      <c r="L13" s="10"/>
      <c r="M13" t="s">
        <v>9</v>
      </c>
      <c r="N13" s="19">
        <f t="shared" si="0"/>
        <v>1164.6099999999999</v>
      </c>
      <c r="O13" s="11"/>
      <c r="Q13" s="10"/>
      <c r="T13" s="11"/>
      <c r="V13" s="37" t="str">
        <f>Gastos!B18</f>
        <v>INTERNET + MOVIL</v>
      </c>
      <c r="W13" s="38">
        <f>HLOOKUP($B$1,Gastos!$C$1:$N$64,18,FALSE)</f>
        <v>49</v>
      </c>
    </row>
    <row r="14" spans="2:23" x14ac:dyDescent="0.25">
      <c r="B14" s="10"/>
      <c r="C14" t="s">
        <v>10</v>
      </c>
      <c r="D14" s="19">
        <f>Gastos!I45</f>
        <v>1886.94</v>
      </c>
      <c r="E14" s="11"/>
      <c r="G14" s="10"/>
      <c r="H14" t="s">
        <v>10</v>
      </c>
      <c r="I14" s="19">
        <f>Ingreso!I10</f>
        <v>2500</v>
      </c>
      <c r="J14" s="11"/>
      <c r="L14" s="10"/>
      <c r="M14" t="s">
        <v>10</v>
      </c>
      <c r="N14" s="19">
        <f t="shared" si="0"/>
        <v>613.05999999999995</v>
      </c>
      <c r="O14" s="11"/>
      <c r="Q14" s="10"/>
      <c r="T14" s="11"/>
      <c r="V14" s="37" t="str">
        <f>Gastos!B21</f>
        <v xml:space="preserve">COLEGIO </v>
      </c>
      <c r="W14" s="38">
        <f>HLOOKUP($B$1,Gastos!$C$1:$N$64,21,FALSE)</f>
        <v>40</v>
      </c>
    </row>
    <row r="15" spans="2:23" x14ac:dyDescent="0.25">
      <c r="B15" s="10"/>
      <c r="C15" t="s">
        <v>11</v>
      </c>
      <c r="D15" s="19">
        <f>Gastos!J45</f>
        <v>1864.67</v>
      </c>
      <c r="E15" s="11"/>
      <c r="G15" s="10"/>
      <c r="H15" t="s">
        <v>11</v>
      </c>
      <c r="I15" s="19">
        <f>Ingreso!J10</f>
        <v>2500</v>
      </c>
      <c r="J15" s="11"/>
      <c r="L15" s="10"/>
      <c r="M15" t="s">
        <v>11</v>
      </c>
      <c r="N15" s="19">
        <f t="shared" si="0"/>
        <v>635.32999999999993</v>
      </c>
      <c r="O15" s="11"/>
      <c r="Q15" s="10"/>
      <c r="T15" s="11"/>
      <c r="V15" s="37" t="str">
        <f>Gastos!B13</f>
        <v>SEGURO DE VIDA</v>
      </c>
      <c r="W15" s="38">
        <f>HLOOKUP($B$1,Gastos!$C$1:$N$64,13,FALSE)</f>
        <v>30.61</v>
      </c>
    </row>
    <row r="16" spans="2:23" ht="15.75" thickBot="1" x14ac:dyDescent="0.3">
      <c r="B16" s="10"/>
      <c r="C16" t="s">
        <v>12</v>
      </c>
      <c r="D16" s="19">
        <f>Gastos!K45</f>
        <v>1690.72</v>
      </c>
      <c r="E16" s="11"/>
      <c r="G16" s="10"/>
      <c r="H16" t="s">
        <v>12</v>
      </c>
      <c r="I16" s="19">
        <f>Ingreso!K10</f>
        <v>2500</v>
      </c>
      <c r="J16" s="11"/>
      <c r="L16" s="10"/>
      <c r="M16" t="s">
        <v>12</v>
      </c>
      <c r="N16" s="19">
        <f t="shared" si="0"/>
        <v>809.28</v>
      </c>
      <c r="O16" s="11"/>
      <c r="Q16" s="10"/>
      <c r="T16" s="11"/>
      <c r="V16" s="37" t="str">
        <f>Gastos!B2</f>
        <v>COMUNIDAD</v>
      </c>
      <c r="W16" s="38">
        <f>HLOOKUP($B$1,Gastos!$C$1:$N$64,2,FALSE)</f>
        <v>25</v>
      </c>
    </row>
    <row r="17" spans="2:23" ht="15.75" thickBot="1" x14ac:dyDescent="0.3">
      <c r="B17" s="10"/>
      <c r="C17" t="s">
        <v>13</v>
      </c>
      <c r="D17" s="19">
        <f>Gastos!L45</f>
        <v>1544.72</v>
      </c>
      <c r="E17" s="11"/>
      <c r="G17" s="10"/>
      <c r="H17" t="s">
        <v>13</v>
      </c>
      <c r="I17" s="19">
        <f>Ingreso!L10</f>
        <v>2500</v>
      </c>
      <c r="J17" s="11"/>
      <c r="L17" s="10"/>
      <c r="M17" t="s">
        <v>13</v>
      </c>
      <c r="N17" s="19">
        <f t="shared" si="0"/>
        <v>955.28</v>
      </c>
      <c r="O17" s="11"/>
      <c r="Q17" s="10"/>
      <c r="R17" s="25" t="s">
        <v>51</v>
      </c>
      <c r="S17" s="26"/>
      <c r="T17" s="11"/>
      <c r="V17" s="37" t="str">
        <f>Gastos!B19</f>
        <v>PLATAFORMA EXTERNA SERIES/ PELIS</v>
      </c>
      <c r="W17" s="38">
        <f>HLOOKUP($B$1,Gastos!$C$1:$N$64,19,FALSE)</f>
        <v>19.98</v>
      </c>
    </row>
    <row r="18" spans="2:23" x14ac:dyDescent="0.25">
      <c r="B18" s="10"/>
      <c r="C18" t="s">
        <v>14</v>
      </c>
      <c r="D18" s="19">
        <f>Gastos!M45</f>
        <v>1759.72</v>
      </c>
      <c r="E18" s="11"/>
      <c r="G18" s="10"/>
      <c r="H18" t="s">
        <v>14</v>
      </c>
      <c r="I18" s="19">
        <f>Ingreso!M10</f>
        <v>2500</v>
      </c>
      <c r="J18" s="11"/>
      <c r="L18" s="10"/>
      <c r="M18" t="s">
        <v>14</v>
      </c>
      <c r="N18" s="19">
        <f t="shared" si="0"/>
        <v>740.28</v>
      </c>
      <c r="O18" s="11"/>
      <c r="Q18" s="24">
        <f>Provisión!A2</f>
        <v>0</v>
      </c>
      <c r="R18" s="28">
        <f>Provisión!B2</f>
        <v>0</v>
      </c>
      <c r="S18" s="62">
        <f>Provisión!C2</f>
        <v>0</v>
      </c>
      <c r="T18" s="63"/>
      <c r="V18" s="37" t="str">
        <f>Gastos!B20</f>
        <v>AMAZON</v>
      </c>
      <c r="W18" s="38">
        <f>HLOOKUP($B$1,Gastos!$C$1:$N$64,20,FALSE)</f>
        <v>5</v>
      </c>
    </row>
    <row r="19" spans="2:23" ht="15.75" thickBot="1" x14ac:dyDescent="0.3">
      <c r="B19" s="12"/>
      <c r="C19" s="13" t="s">
        <v>15</v>
      </c>
      <c r="D19" s="20">
        <f>Gastos!N45</f>
        <v>1554.72</v>
      </c>
      <c r="E19" s="14"/>
      <c r="G19" s="12"/>
      <c r="H19" s="13" t="s">
        <v>15</v>
      </c>
      <c r="I19" s="20">
        <f>Ingreso!N10</f>
        <v>2500</v>
      </c>
      <c r="J19" s="14"/>
      <c r="L19" s="12"/>
      <c r="M19" s="13" t="s">
        <v>15</v>
      </c>
      <c r="N19" s="20">
        <f t="shared" si="0"/>
        <v>945.28</v>
      </c>
      <c r="O19" s="14"/>
      <c r="Q19" s="27">
        <f>Provisión!A3</f>
        <v>0</v>
      </c>
      <c r="R19" s="20">
        <f>Provisión!B3</f>
        <v>0</v>
      </c>
      <c r="S19" s="64">
        <f>Provisión!C3</f>
        <v>0</v>
      </c>
      <c r="T19" s="65"/>
      <c r="V19" s="37" t="str">
        <f>Gastos!B9</f>
        <v>HIPOTECA A. DE LOS PASTORES</v>
      </c>
      <c r="W19" s="38">
        <f>HLOOKUP($B$1,Gastos!$C$1:$N$64,9,FALSE)</f>
        <v>0</v>
      </c>
    </row>
    <row r="20" spans="2:23" x14ac:dyDescent="0.25">
      <c r="V20" s="37" t="str">
        <f>Gastos!B31</f>
        <v>ROPA</v>
      </c>
      <c r="W20" s="38">
        <f>HLOOKUP($B$1,Gastos!$C$1:$N$64,31,FALSE)</f>
        <v>0</v>
      </c>
    </row>
    <row r="21" spans="2:23" x14ac:dyDescent="0.25">
      <c r="V21" s="37" t="str">
        <f>Gastos!B12</f>
        <v>SEGURO DECESOS</v>
      </c>
      <c r="W21" s="38">
        <f>HLOOKUP($B$1,Gastos!$C$1:$N$64,12,FALSE)</f>
        <v>0</v>
      </c>
    </row>
    <row r="22" spans="2:23" x14ac:dyDescent="0.25">
      <c r="V22" s="37" t="str">
        <f>Gastos!B17</f>
        <v>AGUA</v>
      </c>
      <c r="W22" s="38">
        <f>HLOOKUP($B$1,Gastos!$C$1:$N$64,17,FALSE)</f>
        <v>0</v>
      </c>
    </row>
    <row r="23" spans="2:23" x14ac:dyDescent="0.25">
      <c r="V23" s="37" t="str">
        <f>Gastos!B30</f>
        <v>REYES Y CUMPLEAÑOS</v>
      </c>
      <c r="W23" s="38">
        <f>HLOOKUP($B$1,Gastos!$C$1:$N$64,30,FALSE)</f>
        <v>0</v>
      </c>
    </row>
    <row r="24" spans="2:23" x14ac:dyDescent="0.25">
      <c r="V24" s="37" t="str">
        <f>Gastos!B24</f>
        <v>dentista</v>
      </c>
      <c r="W24" s="38">
        <f>HLOOKUP($B$1,Gastos!$C$1:$N$64,24,FALSE)</f>
        <v>0</v>
      </c>
    </row>
    <row r="25" spans="2:23" x14ac:dyDescent="0.25">
      <c r="V25" s="37" t="str">
        <f>Gastos!B15</f>
        <v>CONTRIBUCIÓN</v>
      </c>
      <c r="W25" s="38">
        <f>HLOOKUP($B$1,Gastos!$C$1:$N$64,15,FALSE)</f>
        <v>0</v>
      </c>
    </row>
    <row r="26" spans="2:23" x14ac:dyDescent="0.25">
      <c r="V26" s="37" t="str">
        <f>Gastos!B8</f>
        <v>ITV COCHE</v>
      </c>
      <c r="W26" s="38">
        <f>HLOOKUP($B$1,Gastos!$C$1:$N$64,8,FALSE)</f>
        <v>0</v>
      </c>
    </row>
    <row r="27" spans="2:23" x14ac:dyDescent="0.25">
      <c r="V27" s="37" t="str">
        <f>Gastos!B10</f>
        <v>SEGURO HOGAR</v>
      </c>
      <c r="W27" s="38">
        <f>HLOOKUP($B$1,Gastos!$C$1:$N$64,10,FALSE)</f>
        <v>0</v>
      </c>
    </row>
    <row r="28" spans="2:23" x14ac:dyDescent="0.25">
      <c r="V28" s="37" t="str">
        <f>Gastos!B11</f>
        <v>SEGURO COCHE</v>
      </c>
      <c r="W28" s="38">
        <f>HLOOKUP($B$1,Gastos!$C$1:$N$64,11,FALSE)</f>
        <v>0</v>
      </c>
    </row>
    <row r="29" spans="2:23" x14ac:dyDescent="0.25">
      <c r="V29" s="37" t="str">
        <f>Gastos!B23</f>
        <v>SELLO COCHE</v>
      </c>
      <c r="W29" s="38">
        <f>HLOOKUP($B$1,Gastos!$C$1:$N$64,23,FALSE)</f>
        <v>0</v>
      </c>
    </row>
    <row r="30" spans="2:23" x14ac:dyDescent="0.25">
      <c r="V30" s="37" t="str">
        <f>Gastos!B28</f>
        <v>MANTENIMIENTO COCHE</v>
      </c>
      <c r="W30" s="38">
        <f>HLOOKUP($B$1,Gastos!$C$1:$N$64,28,FALSE)</f>
        <v>0</v>
      </c>
    </row>
    <row r="31" spans="2:23" x14ac:dyDescent="0.25">
      <c r="V31" s="37" t="str">
        <f>Gastos!B32</f>
        <v>Seguro MOTO</v>
      </c>
      <c r="W31" s="38">
        <f>HLOOKUP($B$1,Gastos!$C$1:$N$64,32,FALSE)</f>
        <v>0</v>
      </c>
    </row>
    <row r="32" spans="2:23" x14ac:dyDescent="0.25">
      <c r="V32" s="37">
        <f>Gastos!B33</f>
        <v>0</v>
      </c>
      <c r="W32" s="38">
        <f>HLOOKUP($B$1,Gastos!$C$1:$N$64,33,FALSE)</f>
        <v>0</v>
      </c>
    </row>
    <row r="33" spans="22:23" x14ac:dyDescent="0.25">
      <c r="V33" s="37">
        <f>Gastos!B34</f>
        <v>0</v>
      </c>
      <c r="W33" s="38">
        <f>HLOOKUP($B$1,Gastos!$C$1:$N$64,34,FALSE)</f>
        <v>0</v>
      </c>
    </row>
    <row r="34" spans="22:23" x14ac:dyDescent="0.25">
      <c r="V34" s="37">
        <f>Gastos!B35</f>
        <v>0</v>
      </c>
      <c r="W34" s="38">
        <f>HLOOKUP($B$1,Gastos!$C$1:$N$64,35,FALSE)</f>
        <v>0</v>
      </c>
    </row>
    <row r="35" spans="22:23" x14ac:dyDescent="0.25">
      <c r="V35" s="37">
        <f>Gastos!B36</f>
        <v>0</v>
      </c>
      <c r="W35" s="38">
        <f>HLOOKUP($B$1,Gastos!$C$1:$N$64,36,FALSE)</f>
        <v>0</v>
      </c>
    </row>
    <row r="36" spans="22:23" x14ac:dyDescent="0.25">
      <c r="V36" s="37">
        <f>Gastos!B37</f>
        <v>0</v>
      </c>
      <c r="W36" s="38">
        <f>HLOOKUP($B$1,Gastos!$C$1:$N$64,37,FALSE)</f>
        <v>0</v>
      </c>
    </row>
    <row r="37" spans="22:23" x14ac:dyDescent="0.25">
      <c r="V37" s="37">
        <f>Gastos!B38</f>
        <v>0</v>
      </c>
      <c r="W37" s="38">
        <f>HLOOKUP($B$1,Gastos!$C$1:$N$64,38,FALSE)</f>
        <v>0</v>
      </c>
    </row>
    <row r="38" spans="22:23" x14ac:dyDescent="0.25">
      <c r="V38" s="37">
        <f>Gastos!B39</f>
        <v>0</v>
      </c>
      <c r="W38" s="38">
        <f>HLOOKUP($B$1,Gastos!$C$1:$N$64,39,FALSE)</f>
        <v>0</v>
      </c>
    </row>
    <row r="39" spans="22:23" x14ac:dyDescent="0.25">
      <c r="V39" s="37" t="str">
        <f>Gastos!B5</f>
        <v>dev prestamo mama</v>
      </c>
      <c r="W39" s="38">
        <f>HLOOKUP($B$1,Gastos!$C$1:$N$64,5,FALSE)</f>
        <v>-225</v>
      </c>
    </row>
    <row r="40" spans="22:23" ht="18.75" x14ac:dyDescent="0.25">
      <c r="V40" s="43"/>
      <c r="W40" s="43"/>
    </row>
  </sheetData>
  <mergeCells count="13">
    <mergeCell ref="L5:M5"/>
    <mergeCell ref="N5:O5"/>
    <mergeCell ref="S18:T18"/>
    <mergeCell ref="S19:T19"/>
    <mergeCell ref="B1:T1"/>
    <mergeCell ref="B3:E4"/>
    <mergeCell ref="G3:J4"/>
    <mergeCell ref="L3:O4"/>
    <mergeCell ref="C6:D7"/>
    <mergeCell ref="H6:I7"/>
    <mergeCell ref="M6:N7"/>
    <mergeCell ref="Q3:T4"/>
    <mergeCell ref="R6:S7"/>
  </mergeCells>
  <phoneticPr fontId="3" type="noConversion"/>
  <conditionalFormatting sqref="N8:N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{C63CF10B-4511-49FE-80F9-A088E9292C60}</x14:id>
        </ext>
      </extLst>
    </cfRule>
  </conditionalFormatting>
  <conditionalFormatting sqref="D8:D19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{A5A0F522-814E-48CB-A2EB-23A9DB5939A9}</x14:id>
        </ext>
      </extLst>
    </cfRule>
  </conditionalFormatting>
  <conditionalFormatting sqref="I8:I1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{04CAFA97-CEEA-4D76-B9B3-A7FF90A8516A}</x14:id>
        </ext>
      </extLst>
    </cfRule>
  </conditionalFormatting>
  <pageMargins left="0.25" right="0.25" top="0.75" bottom="0.75" header="0.3" footer="0.3"/>
  <pageSetup paperSize="9" scale="86" fitToHeight="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3CF10B-4511-49FE-80F9-A088E9292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N8:N19</xm:sqref>
        </x14:conditionalFormatting>
        <x14:conditionalFormatting xmlns:xm="http://schemas.microsoft.com/office/excel/2006/main">
          <x14:cfRule type="dataBar" id="{A5A0F522-814E-48CB-A2EB-23A9DB5939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D8:D19</xm:sqref>
        </x14:conditionalFormatting>
        <x14:conditionalFormatting xmlns:xm="http://schemas.microsoft.com/office/excel/2006/main">
          <x14:cfRule type="dataBar" id="{04CAFA97-CEEA-4D76-B9B3-A7FF90A85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I8:I19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8703684-2F58-43C6-8BD2-36FB60BBDAED}">
          <x14:formula1>
            <xm:f>Gastos!$C$1:$N$1</xm:f>
          </x14:formula1>
          <xm:sqref>B1:T1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EEA70-3C52-4558-8972-ACB19617FAE9}">
  <sheetPr codeName="Hoja1"/>
  <dimension ref="A1:XFD276"/>
  <sheetViews>
    <sheetView tabSelected="1" zoomScale="95" workbookViewId="0">
      <selection activeCell="F17" sqref="F17"/>
    </sheetView>
  </sheetViews>
  <sheetFormatPr baseColWidth="10" defaultRowHeight="15" x14ac:dyDescent="0.25"/>
  <cols>
    <col min="2" max="2" width="32.140625" bestFit="1" customWidth="1"/>
    <col min="3" max="3" width="11.140625" bestFit="1" customWidth="1"/>
    <col min="18" max="19" width="13.28515625" bestFit="1" customWidth="1"/>
    <col min="20" max="20" width="35.42578125" bestFit="1" customWidth="1"/>
  </cols>
  <sheetData>
    <row r="1" spans="1:20 16384:16384" ht="24" x14ac:dyDescent="0.25">
      <c r="C1" s="3" t="s">
        <v>4</v>
      </c>
      <c r="D1" s="3" t="s">
        <v>5</v>
      </c>
      <c r="E1" s="3" t="s">
        <v>6</v>
      </c>
      <c r="F1" s="3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15</v>
      </c>
    </row>
    <row r="2" spans="1:20 16384:16384" x14ac:dyDescent="0.25">
      <c r="A2" s="4">
        <v>3</v>
      </c>
      <c r="B2" s="2" t="s">
        <v>0</v>
      </c>
      <c r="C2" s="47"/>
      <c r="D2" s="47"/>
      <c r="E2" s="47"/>
      <c r="F2" s="47"/>
      <c r="G2" s="47"/>
      <c r="H2" s="47">
        <v>25</v>
      </c>
      <c r="I2" s="54">
        <v>25</v>
      </c>
      <c r="J2" s="109">
        <v>25</v>
      </c>
      <c r="K2" s="47">
        <v>25</v>
      </c>
      <c r="L2" s="47">
        <v>25</v>
      </c>
      <c r="M2" s="47">
        <v>25</v>
      </c>
      <c r="N2" s="47">
        <v>25</v>
      </c>
      <c r="O2" s="49" t="s">
        <v>61</v>
      </c>
    </row>
    <row r="3" spans="1:20 16384:16384" x14ac:dyDescent="0.25">
      <c r="A3" s="4">
        <v>10</v>
      </c>
      <c r="B3" s="2" t="s">
        <v>1</v>
      </c>
      <c r="C3" s="45"/>
      <c r="D3" s="45"/>
      <c r="E3" s="45"/>
      <c r="F3" s="45"/>
      <c r="G3" s="45"/>
      <c r="H3" s="52">
        <v>300</v>
      </c>
      <c r="I3" s="55">
        <v>300</v>
      </c>
      <c r="J3" s="110">
        <v>300</v>
      </c>
      <c r="K3" s="45">
        <v>80</v>
      </c>
      <c r="L3" s="45">
        <v>80</v>
      </c>
      <c r="M3" s="45">
        <v>80</v>
      </c>
      <c r="N3" s="45">
        <v>80</v>
      </c>
      <c r="O3" s="49" t="s">
        <v>61</v>
      </c>
      <c r="XFD3" s="45"/>
    </row>
    <row r="4" spans="1:20 16384:16384" x14ac:dyDescent="0.25">
      <c r="A4" s="4" t="s">
        <v>30</v>
      </c>
      <c r="B4" s="2" t="s">
        <v>2</v>
      </c>
      <c r="C4" s="45"/>
      <c r="D4" s="45"/>
      <c r="E4" s="45"/>
      <c r="F4" s="45"/>
      <c r="G4" s="45"/>
      <c r="H4" s="51">
        <v>50</v>
      </c>
      <c r="I4" s="53">
        <v>50</v>
      </c>
      <c r="J4" s="110">
        <v>50</v>
      </c>
      <c r="K4" s="45">
        <v>50</v>
      </c>
      <c r="L4" s="45">
        <v>50</v>
      </c>
      <c r="M4" s="45">
        <v>50</v>
      </c>
      <c r="N4" s="45">
        <v>50</v>
      </c>
      <c r="O4" s="16"/>
      <c r="XFD4" s="16"/>
    </row>
    <row r="5" spans="1:20 16384:16384" x14ac:dyDescent="0.25">
      <c r="A5" s="4">
        <v>10</v>
      </c>
      <c r="B5" s="2" t="s">
        <v>63</v>
      </c>
      <c r="C5" s="45"/>
      <c r="D5" s="45"/>
      <c r="E5" s="45"/>
      <c r="F5" s="45"/>
      <c r="G5" s="45"/>
      <c r="H5" s="45">
        <v>-225</v>
      </c>
      <c r="I5" s="45"/>
      <c r="J5" s="45"/>
      <c r="K5" s="45"/>
      <c r="L5" s="45"/>
      <c r="M5" s="45"/>
      <c r="N5" s="45"/>
      <c r="O5" s="16"/>
    </row>
    <row r="6" spans="1:20 16384:16384" x14ac:dyDescent="0.25">
      <c r="A6" s="4"/>
      <c r="B6" s="2" t="s">
        <v>58</v>
      </c>
      <c r="C6" s="45"/>
      <c r="D6" s="45"/>
      <c r="E6" s="45"/>
      <c r="F6" s="45"/>
      <c r="G6" s="45"/>
      <c r="H6" s="45">
        <v>350</v>
      </c>
      <c r="I6" s="45">
        <v>350</v>
      </c>
      <c r="J6" s="108">
        <v>300</v>
      </c>
      <c r="K6" s="45">
        <v>350</v>
      </c>
      <c r="L6" s="45">
        <v>350</v>
      </c>
      <c r="M6" s="45">
        <v>350</v>
      </c>
      <c r="N6" s="45">
        <v>350</v>
      </c>
      <c r="O6" s="16"/>
    </row>
    <row r="7" spans="1:20 16384:16384" x14ac:dyDescent="0.25">
      <c r="A7" s="4" t="s">
        <v>30</v>
      </c>
      <c r="B7" s="2" t="s">
        <v>41</v>
      </c>
      <c r="C7" s="45"/>
      <c r="D7" s="45"/>
      <c r="E7" s="45"/>
      <c r="F7" s="45"/>
      <c r="G7" s="45"/>
      <c r="H7" s="45">
        <v>80</v>
      </c>
      <c r="I7" s="45">
        <v>80</v>
      </c>
      <c r="J7" s="108">
        <v>100</v>
      </c>
      <c r="K7" s="45">
        <v>80</v>
      </c>
      <c r="L7" s="45">
        <v>80</v>
      </c>
      <c r="M7" s="45">
        <v>80</v>
      </c>
      <c r="N7" s="45">
        <v>80</v>
      </c>
      <c r="O7" s="16"/>
      <c r="R7" s="105" t="s">
        <v>67</v>
      </c>
      <c r="S7" s="106"/>
      <c r="T7" s="107"/>
    </row>
    <row r="8" spans="1:20 16384:16384" x14ac:dyDescent="0.25">
      <c r="A8" s="4" t="s">
        <v>34</v>
      </c>
      <c r="B8" s="2" t="s">
        <v>3</v>
      </c>
      <c r="C8" s="45"/>
      <c r="D8" s="45"/>
      <c r="E8" s="45"/>
      <c r="F8" s="45"/>
      <c r="G8" s="45"/>
      <c r="H8" s="45"/>
      <c r="I8" s="45"/>
      <c r="J8" s="45"/>
      <c r="K8" s="45">
        <v>36</v>
      </c>
      <c r="L8" s="45"/>
      <c r="M8" s="45"/>
      <c r="N8" s="45"/>
      <c r="O8" s="16"/>
      <c r="R8" s="56">
        <v>45856</v>
      </c>
      <c r="S8" s="17">
        <v>1000</v>
      </c>
      <c r="T8" s="17" t="s">
        <v>65</v>
      </c>
    </row>
    <row r="9" spans="1:20 16384:16384" x14ac:dyDescent="0.25">
      <c r="A9" s="4">
        <v>1</v>
      </c>
      <c r="B9" s="1" t="s">
        <v>16</v>
      </c>
      <c r="C9" s="45"/>
      <c r="D9" s="45"/>
      <c r="E9" s="45"/>
      <c r="F9" s="45"/>
      <c r="G9" s="45"/>
      <c r="H9" s="45"/>
      <c r="I9" s="53">
        <v>529</v>
      </c>
      <c r="J9" s="110">
        <v>429</v>
      </c>
      <c r="K9" s="45">
        <v>429</v>
      </c>
      <c r="L9" s="45">
        <v>429</v>
      </c>
      <c r="M9" s="45">
        <v>429</v>
      </c>
      <c r="N9" s="45">
        <v>429</v>
      </c>
      <c r="O9" s="16"/>
      <c r="P9" s="46"/>
      <c r="R9" s="56">
        <v>45866</v>
      </c>
      <c r="S9" s="17">
        <v>100</v>
      </c>
      <c r="T9" s="17" t="s">
        <v>66</v>
      </c>
    </row>
    <row r="10" spans="1:20 16384:16384" x14ac:dyDescent="0.25">
      <c r="A10" s="4">
        <v>27</v>
      </c>
      <c r="B10" s="1" t="s">
        <v>17</v>
      </c>
      <c r="C10" s="45"/>
      <c r="D10" s="45"/>
      <c r="E10" s="45"/>
      <c r="F10" s="45"/>
      <c r="G10" s="45">
        <v>269.88</v>
      </c>
      <c r="H10" s="45"/>
      <c r="I10" s="45"/>
      <c r="J10" s="45"/>
      <c r="K10" s="45"/>
      <c r="L10" s="45"/>
      <c r="M10" s="45"/>
      <c r="N10" s="45"/>
      <c r="O10" s="16"/>
      <c r="R10" s="17"/>
      <c r="S10" s="17"/>
      <c r="T10" s="17"/>
    </row>
    <row r="11" spans="1:20 16384:16384" x14ac:dyDescent="0.25">
      <c r="A11" s="4" t="s">
        <v>31</v>
      </c>
      <c r="B11" s="1" t="s">
        <v>18</v>
      </c>
      <c r="C11" s="45"/>
      <c r="D11" s="45"/>
      <c r="E11" s="45"/>
      <c r="F11" s="45"/>
      <c r="G11" s="45">
        <v>279</v>
      </c>
      <c r="H11" s="45"/>
      <c r="I11" s="45"/>
      <c r="J11" s="45"/>
      <c r="K11" s="45"/>
      <c r="L11" s="45"/>
      <c r="M11" s="45"/>
      <c r="N11" s="45"/>
      <c r="O11" s="16"/>
      <c r="R11" s="17"/>
      <c r="S11" s="17"/>
      <c r="T11" s="17"/>
    </row>
    <row r="12" spans="1:20 16384:16384" x14ac:dyDescent="0.25">
      <c r="A12" s="4" t="s">
        <v>31</v>
      </c>
      <c r="B12" s="1" t="s">
        <v>19</v>
      </c>
      <c r="C12" s="45">
        <v>56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16"/>
      <c r="P12" s="16"/>
      <c r="R12" s="17"/>
      <c r="S12" s="17"/>
      <c r="T12" s="17"/>
    </row>
    <row r="13" spans="1:20 16384:16384" x14ac:dyDescent="0.25">
      <c r="A13" s="4">
        <v>21</v>
      </c>
      <c r="B13" s="1" t="s">
        <v>20</v>
      </c>
      <c r="C13" s="45"/>
      <c r="D13" s="45"/>
      <c r="E13" s="45"/>
      <c r="F13" s="45"/>
      <c r="G13" s="45">
        <v>30.61</v>
      </c>
      <c r="H13" s="52">
        <v>30.61</v>
      </c>
      <c r="I13" s="55">
        <v>30.61</v>
      </c>
      <c r="J13" s="110">
        <v>30.61</v>
      </c>
      <c r="K13" s="45">
        <v>30.61</v>
      </c>
      <c r="L13" s="45">
        <v>30.61</v>
      </c>
      <c r="M13" s="45">
        <v>30.61</v>
      </c>
      <c r="N13" s="45">
        <v>30.61</v>
      </c>
      <c r="O13" s="16"/>
    </row>
    <row r="14" spans="1:20 16384:16384" x14ac:dyDescent="0.25">
      <c r="A14" s="4">
        <v>5</v>
      </c>
      <c r="B14" s="1" t="s">
        <v>56</v>
      </c>
      <c r="C14" s="45"/>
      <c r="D14" s="45"/>
      <c r="E14" s="45"/>
      <c r="F14" s="45"/>
      <c r="G14" s="45">
        <v>173.64</v>
      </c>
      <c r="H14" s="52">
        <v>173.64</v>
      </c>
      <c r="I14" s="55">
        <v>173.64</v>
      </c>
      <c r="J14" s="110">
        <v>173.64</v>
      </c>
      <c r="K14" s="45">
        <v>173.64</v>
      </c>
      <c r="L14" s="45">
        <v>173.64</v>
      </c>
      <c r="M14" s="45">
        <v>173.64</v>
      </c>
      <c r="N14" s="45">
        <v>173.64</v>
      </c>
      <c r="O14" s="16"/>
      <c r="XFD14" s="45"/>
    </row>
    <row r="15" spans="1:20 16384:16384" x14ac:dyDescent="0.25">
      <c r="A15" s="4" t="s">
        <v>32</v>
      </c>
      <c r="B15" s="1" t="s">
        <v>21</v>
      </c>
      <c r="C15" s="45"/>
      <c r="D15" s="45"/>
      <c r="E15" s="45"/>
      <c r="F15" s="45"/>
      <c r="G15" s="45">
        <v>120</v>
      </c>
      <c r="H15" s="45"/>
      <c r="I15" s="45"/>
      <c r="J15" s="45"/>
      <c r="K15" s="45"/>
      <c r="L15" s="45"/>
      <c r="M15" s="45">
        <v>120</v>
      </c>
      <c r="N15" s="45"/>
      <c r="O15" s="49" t="s">
        <v>60</v>
      </c>
    </row>
    <row r="16" spans="1:20 16384:16384" x14ac:dyDescent="0.25">
      <c r="A16" s="4">
        <v>8</v>
      </c>
      <c r="B16" s="1" t="s">
        <v>22</v>
      </c>
      <c r="C16" s="45"/>
      <c r="D16" s="45"/>
      <c r="E16" s="45"/>
      <c r="F16" s="45"/>
      <c r="G16" s="45">
        <v>64</v>
      </c>
      <c r="H16" s="51">
        <v>90</v>
      </c>
      <c r="I16" s="53">
        <v>87.22</v>
      </c>
      <c r="J16" s="110">
        <v>100</v>
      </c>
      <c r="K16" s="45">
        <v>80</v>
      </c>
      <c r="L16" s="45">
        <v>65</v>
      </c>
      <c r="M16" s="45">
        <v>75</v>
      </c>
      <c r="N16" s="45">
        <v>75</v>
      </c>
      <c r="O16" s="49" t="s">
        <v>62</v>
      </c>
    </row>
    <row r="17" spans="1:20 16384:16384" x14ac:dyDescent="0.25">
      <c r="A17" s="5">
        <v>6</v>
      </c>
      <c r="B17" s="2" t="s">
        <v>23</v>
      </c>
      <c r="C17" s="45"/>
      <c r="D17" s="45"/>
      <c r="E17" s="45"/>
      <c r="F17" s="45"/>
      <c r="G17" s="45">
        <v>85.2</v>
      </c>
      <c r="H17" s="45"/>
      <c r="I17" s="53">
        <v>60</v>
      </c>
      <c r="J17" s="45"/>
      <c r="K17" s="45">
        <v>95</v>
      </c>
      <c r="L17" s="45"/>
      <c r="M17" s="45">
        <v>85</v>
      </c>
      <c r="N17" s="45"/>
      <c r="O17" s="49" t="s">
        <v>62</v>
      </c>
      <c r="T17" s="57"/>
    </row>
    <row r="18" spans="1:20 16384:16384" x14ac:dyDescent="0.25">
      <c r="A18" s="4">
        <v>18</v>
      </c>
      <c r="B18" s="1" t="s">
        <v>24</v>
      </c>
      <c r="C18" s="45"/>
      <c r="D18" s="45"/>
      <c r="E18" s="45"/>
      <c r="F18" s="45"/>
      <c r="G18" s="45"/>
      <c r="H18" s="52">
        <v>49</v>
      </c>
      <c r="I18" s="55">
        <v>49</v>
      </c>
      <c r="J18" s="110">
        <v>53.95</v>
      </c>
      <c r="K18" s="45">
        <v>49</v>
      </c>
      <c r="L18" s="45">
        <v>49</v>
      </c>
      <c r="M18" s="45">
        <v>49</v>
      </c>
      <c r="N18" s="45">
        <v>49</v>
      </c>
      <c r="O18" s="16"/>
      <c r="T18" s="57"/>
    </row>
    <row r="19" spans="1:20 16384:16384" x14ac:dyDescent="0.25">
      <c r="A19" s="4">
        <v>3</v>
      </c>
      <c r="B19" s="1" t="s">
        <v>25</v>
      </c>
      <c r="C19" s="45"/>
      <c r="D19" s="45"/>
      <c r="E19" s="45"/>
      <c r="F19" s="45"/>
      <c r="G19" s="45">
        <v>19.98</v>
      </c>
      <c r="H19" s="45">
        <v>19.98</v>
      </c>
      <c r="I19" s="55">
        <v>19.98</v>
      </c>
      <c r="J19" s="110">
        <v>19.98</v>
      </c>
      <c r="K19" s="45">
        <v>19.98</v>
      </c>
      <c r="L19" s="45">
        <v>19.98</v>
      </c>
      <c r="M19" s="45">
        <v>19.98</v>
      </c>
      <c r="N19" s="45">
        <v>19.98</v>
      </c>
      <c r="O19" s="16"/>
      <c r="T19" s="57"/>
      <c r="XFD19" s="45"/>
    </row>
    <row r="20" spans="1:20 16384:16384" x14ac:dyDescent="0.25">
      <c r="A20" s="4">
        <v>5</v>
      </c>
      <c r="B20" s="1" t="s">
        <v>55</v>
      </c>
      <c r="C20" s="45"/>
      <c r="D20" s="45"/>
      <c r="E20" s="45"/>
      <c r="F20" s="45"/>
      <c r="G20" s="45"/>
      <c r="H20" s="52">
        <v>5</v>
      </c>
      <c r="I20" s="55">
        <v>5</v>
      </c>
      <c r="J20" s="110">
        <v>5</v>
      </c>
      <c r="K20" s="45">
        <v>5</v>
      </c>
      <c r="L20" s="45">
        <v>5</v>
      </c>
      <c r="M20" s="45">
        <v>5</v>
      </c>
      <c r="N20" s="45">
        <v>5</v>
      </c>
      <c r="O20" s="16"/>
      <c r="T20" s="57"/>
    </row>
    <row r="21" spans="1:20 16384:16384" x14ac:dyDescent="0.25">
      <c r="A21" s="4">
        <v>13</v>
      </c>
      <c r="B21" s="1" t="s">
        <v>26</v>
      </c>
      <c r="C21" s="45"/>
      <c r="D21" s="45"/>
      <c r="E21" s="45"/>
      <c r="F21" s="45"/>
      <c r="G21" s="45">
        <v>40</v>
      </c>
      <c r="H21" s="45">
        <v>40</v>
      </c>
      <c r="I21" s="45"/>
      <c r="J21" s="45"/>
      <c r="K21" s="45">
        <v>40</v>
      </c>
      <c r="L21" s="45">
        <v>40</v>
      </c>
      <c r="M21" s="45">
        <v>40</v>
      </c>
      <c r="N21" s="45">
        <v>40</v>
      </c>
      <c r="O21" s="49" t="s">
        <v>62</v>
      </c>
    </row>
    <row r="22" spans="1:20 16384:16384" x14ac:dyDescent="0.25">
      <c r="A22" s="4" t="s">
        <v>33</v>
      </c>
      <c r="B22" s="1" t="s">
        <v>27</v>
      </c>
      <c r="C22" s="45"/>
      <c r="D22" s="45"/>
      <c r="E22" s="45"/>
      <c r="F22" s="45"/>
      <c r="G22" s="45">
        <v>20</v>
      </c>
      <c r="H22" s="50">
        <v>100</v>
      </c>
      <c r="I22" s="45"/>
      <c r="J22" s="45"/>
      <c r="K22" s="45">
        <v>20</v>
      </c>
      <c r="L22" s="45">
        <v>20</v>
      </c>
      <c r="M22" s="45">
        <v>20</v>
      </c>
      <c r="N22" s="45">
        <v>20</v>
      </c>
      <c r="O22" s="16"/>
    </row>
    <row r="23" spans="1:20 16384:16384" x14ac:dyDescent="0.25">
      <c r="A23" s="4" t="s">
        <v>31</v>
      </c>
      <c r="B23" s="1" t="s">
        <v>28</v>
      </c>
      <c r="C23" s="45"/>
      <c r="D23" s="45"/>
      <c r="E23" s="45"/>
      <c r="F23" s="45"/>
      <c r="G23" s="45">
        <v>62</v>
      </c>
      <c r="H23" s="45"/>
      <c r="I23" s="45"/>
      <c r="J23" s="45"/>
      <c r="K23" s="45"/>
      <c r="L23" s="45"/>
      <c r="M23" s="45"/>
      <c r="N23" s="45"/>
      <c r="O23" s="16"/>
    </row>
    <row r="24" spans="1:20 16384:16384" x14ac:dyDescent="0.25">
      <c r="A24" s="4"/>
      <c r="B24" s="1" t="s">
        <v>64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16"/>
    </row>
    <row r="25" spans="1:20 16384:16384" x14ac:dyDescent="0.25">
      <c r="A25" s="4">
        <v>1</v>
      </c>
      <c r="B25" s="1" t="s">
        <v>29</v>
      </c>
      <c r="C25" s="45"/>
      <c r="D25" s="45"/>
      <c r="E25" s="45"/>
      <c r="F25" s="45"/>
      <c r="G25" s="45">
        <v>62</v>
      </c>
      <c r="H25" s="50">
        <v>67.5</v>
      </c>
      <c r="I25" s="45">
        <v>67.5</v>
      </c>
      <c r="J25" s="110">
        <v>67.5</v>
      </c>
      <c r="K25" s="45">
        <v>67.5</v>
      </c>
      <c r="L25" s="45">
        <v>67.5</v>
      </c>
      <c r="M25" s="45">
        <v>67.5</v>
      </c>
      <c r="N25" s="45">
        <v>67.5</v>
      </c>
      <c r="O25" s="49" t="s">
        <v>61</v>
      </c>
    </row>
    <row r="26" spans="1:20 16384:16384" x14ac:dyDescent="0.25">
      <c r="A26" s="17"/>
      <c r="B26" s="1" t="s">
        <v>42</v>
      </c>
      <c r="C26" s="45"/>
      <c r="D26" s="45"/>
      <c r="E26" s="45"/>
      <c r="F26" s="45"/>
      <c r="G26" s="45">
        <v>59.99</v>
      </c>
      <c r="H26" s="52">
        <v>59.99</v>
      </c>
      <c r="I26" s="55">
        <v>59.99</v>
      </c>
      <c r="J26" s="110">
        <v>59.99</v>
      </c>
      <c r="K26" s="45">
        <v>59.99</v>
      </c>
      <c r="L26" s="45">
        <v>59.99</v>
      </c>
      <c r="M26" s="45">
        <v>59.99</v>
      </c>
      <c r="N26" s="45">
        <v>59.99</v>
      </c>
      <c r="O26" s="16"/>
      <c r="XFD26" s="45"/>
    </row>
    <row r="27" spans="1:20 16384:16384" x14ac:dyDescent="0.25">
      <c r="A27" s="17"/>
      <c r="B27" s="1" t="s">
        <v>57</v>
      </c>
      <c r="C27" s="45"/>
      <c r="D27" s="45"/>
      <c r="E27" s="45"/>
      <c r="F27" s="45"/>
      <c r="G27" s="45"/>
      <c r="H27" s="45">
        <v>60</v>
      </c>
      <c r="I27" s="45"/>
      <c r="J27" s="45"/>
      <c r="K27" s="45"/>
      <c r="L27" s="45"/>
      <c r="M27" s="45"/>
      <c r="N27" s="45"/>
      <c r="O27" s="16"/>
    </row>
    <row r="28" spans="1:20 16384:16384" x14ac:dyDescent="0.25">
      <c r="A28" s="17"/>
      <c r="B28" s="1" t="s">
        <v>43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16"/>
    </row>
    <row r="29" spans="1:20 16384:16384" x14ac:dyDescent="0.25">
      <c r="A29" s="17"/>
      <c r="B29" s="1" t="s">
        <v>59</v>
      </c>
      <c r="C29" s="45"/>
      <c r="D29" s="45"/>
      <c r="E29" s="45"/>
      <c r="F29" s="45"/>
      <c r="G29" s="45"/>
      <c r="H29" s="45">
        <v>59.67</v>
      </c>
      <c r="I29" s="45"/>
      <c r="J29" s="45"/>
      <c r="K29" s="45"/>
      <c r="L29" s="45"/>
      <c r="M29" s="45"/>
      <c r="N29" s="45"/>
      <c r="O29" s="16"/>
    </row>
    <row r="30" spans="1:20 16384:16384" x14ac:dyDescent="0.25">
      <c r="A30" s="17"/>
      <c r="B30" s="1" t="s">
        <v>44</v>
      </c>
      <c r="C30" s="45"/>
      <c r="D30" s="45"/>
      <c r="E30" s="45"/>
      <c r="F30" s="45"/>
      <c r="G30" s="45"/>
      <c r="H30" s="45"/>
      <c r="I30" s="45"/>
      <c r="J30" s="108">
        <v>150</v>
      </c>
      <c r="K30" s="45"/>
      <c r="L30" s="45"/>
      <c r="M30" s="45"/>
      <c r="N30" s="45"/>
      <c r="O30" s="16"/>
    </row>
    <row r="31" spans="1:20 16384:16384" x14ac:dyDescent="0.25">
      <c r="A31" s="17"/>
      <c r="B31" s="1" t="s">
        <v>45</v>
      </c>
      <c r="C31" s="48"/>
      <c r="D31" s="48"/>
      <c r="E31" s="48"/>
      <c r="F31" s="48"/>
      <c r="G31" s="45"/>
      <c r="H31" s="48"/>
      <c r="I31" s="48"/>
      <c r="J31" s="48"/>
      <c r="K31" s="48"/>
      <c r="L31" s="48"/>
      <c r="M31" s="48"/>
      <c r="N31" s="48"/>
      <c r="O31" s="16"/>
    </row>
    <row r="32" spans="1:20 16384:16384" x14ac:dyDescent="0.25">
      <c r="A32" s="17">
        <v>22</v>
      </c>
      <c r="B32" s="1" t="s">
        <v>46</v>
      </c>
      <c r="C32" s="48"/>
      <c r="D32" s="48"/>
      <c r="E32" s="48"/>
      <c r="F32" s="48"/>
      <c r="G32" s="48">
        <v>290.72000000000003</v>
      </c>
      <c r="H32" s="48"/>
      <c r="I32" s="48"/>
      <c r="J32" s="48"/>
      <c r="K32" s="48"/>
      <c r="L32" s="48"/>
      <c r="M32" s="48"/>
      <c r="N32" s="48"/>
      <c r="O32" s="16"/>
    </row>
    <row r="33" spans="3:20" x14ac:dyDescent="0.25"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</row>
    <row r="34" spans="3:20" x14ac:dyDescent="0.25"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S34">
        <v>-2767.93</v>
      </c>
    </row>
    <row r="35" spans="3:20" x14ac:dyDescent="0.25"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S35">
        <v>1350</v>
      </c>
      <c r="T35" t="s">
        <v>68</v>
      </c>
    </row>
    <row r="36" spans="3:20" x14ac:dyDescent="0.25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S36">
        <v>550</v>
      </c>
      <c r="T36" t="s">
        <v>69</v>
      </c>
    </row>
    <row r="37" spans="3:20" x14ac:dyDescent="0.25"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S37">
        <v>300</v>
      </c>
      <c r="T37" t="s">
        <v>70</v>
      </c>
    </row>
    <row r="38" spans="3:20" x14ac:dyDescent="0.25"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</row>
    <row r="39" spans="3:20" x14ac:dyDescent="0.25"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</row>
    <row r="40" spans="3:20" x14ac:dyDescent="0.25"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</row>
    <row r="41" spans="3:20" x14ac:dyDescent="0.25"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</row>
    <row r="42" spans="3:20" x14ac:dyDescent="0.25"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</row>
    <row r="43" spans="3:20" x14ac:dyDescent="0.25"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</row>
    <row r="44" spans="3:20" x14ac:dyDescent="0.25"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</row>
    <row r="45" spans="3:20" x14ac:dyDescent="0.25">
      <c r="C45" s="16">
        <f t="shared" ref="C45:N45" si="0">SUM(C2:C44)</f>
        <v>56</v>
      </c>
      <c r="D45" s="16">
        <f t="shared" si="0"/>
        <v>0</v>
      </c>
      <c r="E45" s="16">
        <f t="shared" si="0"/>
        <v>0</v>
      </c>
      <c r="F45" s="16">
        <f t="shared" si="0"/>
        <v>0</v>
      </c>
      <c r="G45" s="16">
        <f t="shared" si="0"/>
        <v>1577.02</v>
      </c>
      <c r="H45" s="16">
        <f t="shared" si="0"/>
        <v>1335.39</v>
      </c>
      <c r="I45" s="16">
        <f t="shared" si="0"/>
        <v>1886.94</v>
      </c>
      <c r="J45" s="16">
        <f t="shared" si="0"/>
        <v>1864.67</v>
      </c>
      <c r="K45" s="16">
        <f t="shared" si="0"/>
        <v>1690.72</v>
      </c>
      <c r="L45" s="16">
        <f t="shared" si="0"/>
        <v>1544.72</v>
      </c>
      <c r="M45" s="16">
        <f t="shared" si="0"/>
        <v>1759.72</v>
      </c>
      <c r="N45" s="16">
        <f t="shared" si="0"/>
        <v>1554.72</v>
      </c>
      <c r="O45" s="16"/>
    </row>
    <row r="46" spans="3:20" x14ac:dyDescent="0.25"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</row>
    <row r="47" spans="3:20" x14ac:dyDescent="0.25"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</row>
    <row r="48" spans="3:20" x14ac:dyDescent="0.25"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</row>
    <row r="49" spans="3:15" x14ac:dyDescent="0.25"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</row>
    <row r="50" spans="3:15" x14ac:dyDescent="0.25"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</row>
    <row r="51" spans="3:15" x14ac:dyDescent="0.25"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</row>
    <row r="52" spans="3:15" x14ac:dyDescent="0.25"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</row>
    <row r="53" spans="3:15" x14ac:dyDescent="0.25"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</row>
    <row r="54" spans="3:15" x14ac:dyDescent="0.25"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</row>
    <row r="55" spans="3:15" x14ac:dyDescent="0.25"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</row>
    <row r="56" spans="3:15" x14ac:dyDescent="0.25"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</row>
    <row r="57" spans="3:15" x14ac:dyDescent="0.25"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</row>
    <row r="58" spans="3:15" x14ac:dyDescent="0.25"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</row>
    <row r="59" spans="3:15" x14ac:dyDescent="0.25"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</row>
    <row r="60" spans="3:15" x14ac:dyDescent="0.25"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</row>
    <row r="61" spans="3:15" x14ac:dyDescent="0.25"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</row>
    <row r="62" spans="3:15" x14ac:dyDescent="0.25"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</row>
    <row r="63" spans="3:15" x14ac:dyDescent="0.25"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</row>
    <row r="64" spans="3:15" x14ac:dyDescent="0.25"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</row>
    <row r="65" spans="3:15" x14ac:dyDescent="0.25"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</row>
    <row r="66" spans="3:15" x14ac:dyDescent="0.25"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</row>
    <row r="67" spans="3:15" x14ac:dyDescent="0.25"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</row>
    <row r="68" spans="3:15" x14ac:dyDescent="0.25"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</row>
    <row r="69" spans="3:15" x14ac:dyDescent="0.25"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</row>
    <row r="70" spans="3:15" x14ac:dyDescent="0.25"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</row>
    <row r="71" spans="3:15" x14ac:dyDescent="0.25"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</row>
    <row r="72" spans="3:15" x14ac:dyDescent="0.25"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</row>
    <row r="73" spans="3:15" x14ac:dyDescent="0.25"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</row>
    <row r="74" spans="3:15" x14ac:dyDescent="0.25"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</row>
    <row r="75" spans="3:15" x14ac:dyDescent="0.25"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</row>
    <row r="76" spans="3:15" x14ac:dyDescent="0.25"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</row>
    <row r="77" spans="3:15" x14ac:dyDescent="0.25"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</row>
    <row r="78" spans="3:15" x14ac:dyDescent="0.25"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</row>
    <row r="79" spans="3:15" x14ac:dyDescent="0.25"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</row>
    <row r="80" spans="3:15" x14ac:dyDescent="0.25"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</row>
    <row r="81" spans="3:15" x14ac:dyDescent="0.25"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</row>
    <row r="82" spans="3:15" x14ac:dyDescent="0.25"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</row>
    <row r="83" spans="3:15" x14ac:dyDescent="0.25"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</row>
    <row r="84" spans="3:15" x14ac:dyDescent="0.25"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</row>
    <row r="85" spans="3:15" x14ac:dyDescent="0.25"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</row>
    <row r="86" spans="3:15" x14ac:dyDescent="0.25"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</row>
    <row r="87" spans="3:15" x14ac:dyDescent="0.25"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</row>
    <row r="88" spans="3:15" x14ac:dyDescent="0.25"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</row>
    <row r="89" spans="3:15" x14ac:dyDescent="0.25"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</row>
    <row r="90" spans="3:15" x14ac:dyDescent="0.25"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</row>
    <row r="91" spans="3:15" x14ac:dyDescent="0.25"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</row>
    <row r="92" spans="3:15" x14ac:dyDescent="0.25"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</row>
    <row r="93" spans="3:15" x14ac:dyDescent="0.25"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</row>
    <row r="94" spans="3:15" x14ac:dyDescent="0.25"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</row>
    <row r="95" spans="3:15" x14ac:dyDescent="0.25"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</row>
    <row r="96" spans="3:15" x14ac:dyDescent="0.25"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</row>
    <row r="97" spans="3:15" x14ac:dyDescent="0.25"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</row>
    <row r="98" spans="3:15" x14ac:dyDescent="0.25"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</row>
    <row r="99" spans="3:15" x14ac:dyDescent="0.25"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</row>
    <row r="100" spans="3:15" x14ac:dyDescent="0.25"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</row>
    <row r="101" spans="3:15" x14ac:dyDescent="0.25"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</row>
    <row r="102" spans="3:15" x14ac:dyDescent="0.25"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</row>
    <row r="103" spans="3:15" x14ac:dyDescent="0.25"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</row>
    <row r="104" spans="3:15" x14ac:dyDescent="0.25"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</row>
    <row r="105" spans="3:15" x14ac:dyDescent="0.25"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</row>
    <row r="106" spans="3:15" x14ac:dyDescent="0.25"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</row>
    <row r="107" spans="3:15" x14ac:dyDescent="0.25"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</row>
    <row r="108" spans="3:15" x14ac:dyDescent="0.25"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</row>
    <row r="109" spans="3:15" x14ac:dyDescent="0.25"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</row>
    <row r="110" spans="3:15" x14ac:dyDescent="0.25"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</row>
    <row r="111" spans="3:15" x14ac:dyDescent="0.25"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</row>
    <row r="112" spans="3:15" x14ac:dyDescent="0.25"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</row>
    <row r="113" spans="3:15" x14ac:dyDescent="0.25"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</row>
    <row r="114" spans="3:15" x14ac:dyDescent="0.25"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</row>
    <row r="115" spans="3:15" x14ac:dyDescent="0.25"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</row>
    <row r="116" spans="3:15" x14ac:dyDescent="0.25"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</row>
    <row r="117" spans="3:15" x14ac:dyDescent="0.25"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</row>
    <row r="118" spans="3:15" x14ac:dyDescent="0.25"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</row>
    <row r="119" spans="3:15" x14ac:dyDescent="0.25"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</row>
    <row r="120" spans="3:15" x14ac:dyDescent="0.25"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</row>
    <row r="121" spans="3:15" x14ac:dyDescent="0.25"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</row>
    <row r="122" spans="3:15" x14ac:dyDescent="0.25"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</row>
    <row r="123" spans="3:15" x14ac:dyDescent="0.25"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</row>
    <row r="124" spans="3:15" x14ac:dyDescent="0.25"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</row>
    <row r="125" spans="3:15" x14ac:dyDescent="0.25"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</row>
    <row r="126" spans="3:15" x14ac:dyDescent="0.25"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</row>
    <row r="127" spans="3:15" x14ac:dyDescent="0.25"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</row>
    <row r="128" spans="3:15" x14ac:dyDescent="0.25"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</row>
    <row r="129" spans="3:15" x14ac:dyDescent="0.25"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</row>
    <row r="130" spans="3:15" x14ac:dyDescent="0.25"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</row>
    <row r="131" spans="3:15" x14ac:dyDescent="0.25"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</row>
    <row r="132" spans="3:15" x14ac:dyDescent="0.25"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</row>
    <row r="133" spans="3:15" x14ac:dyDescent="0.25"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</row>
    <row r="134" spans="3:15" x14ac:dyDescent="0.25"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</row>
    <row r="135" spans="3:15" x14ac:dyDescent="0.25"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</row>
    <row r="136" spans="3:15" x14ac:dyDescent="0.25"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</row>
    <row r="137" spans="3:15" x14ac:dyDescent="0.25"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</row>
    <row r="138" spans="3:15" x14ac:dyDescent="0.25"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</row>
    <row r="139" spans="3:15" x14ac:dyDescent="0.25"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</row>
    <row r="140" spans="3:15" x14ac:dyDescent="0.25"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</row>
    <row r="141" spans="3:15" x14ac:dyDescent="0.25"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</row>
    <row r="142" spans="3:15" x14ac:dyDescent="0.25"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</row>
    <row r="143" spans="3:15" x14ac:dyDescent="0.25"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</row>
    <row r="144" spans="3:15" x14ac:dyDescent="0.25"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</row>
    <row r="145" spans="3:15" x14ac:dyDescent="0.25"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</row>
    <row r="146" spans="3:15" x14ac:dyDescent="0.25"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</row>
    <row r="147" spans="3:15" x14ac:dyDescent="0.25"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</row>
    <row r="148" spans="3:15" x14ac:dyDescent="0.25"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</row>
    <row r="149" spans="3:15" x14ac:dyDescent="0.25"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</row>
    <row r="150" spans="3:15" x14ac:dyDescent="0.25"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</row>
    <row r="151" spans="3:15" x14ac:dyDescent="0.25"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</row>
    <row r="152" spans="3:15" x14ac:dyDescent="0.25"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</row>
    <row r="153" spans="3:15" x14ac:dyDescent="0.25"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</row>
    <row r="154" spans="3:15" x14ac:dyDescent="0.25"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</row>
    <row r="155" spans="3:15" x14ac:dyDescent="0.25"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</row>
    <row r="156" spans="3:15" x14ac:dyDescent="0.25"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</row>
    <row r="157" spans="3:15" x14ac:dyDescent="0.25"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</row>
    <row r="158" spans="3:15" x14ac:dyDescent="0.25"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</row>
    <row r="159" spans="3:15" x14ac:dyDescent="0.25"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</row>
    <row r="160" spans="3:15" x14ac:dyDescent="0.25"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</row>
    <row r="161" spans="3:15" x14ac:dyDescent="0.25"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</row>
    <row r="162" spans="3:15" x14ac:dyDescent="0.25"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</row>
    <row r="163" spans="3:15" x14ac:dyDescent="0.25"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</row>
    <row r="164" spans="3:15" x14ac:dyDescent="0.25"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</row>
    <row r="165" spans="3:15" x14ac:dyDescent="0.25"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</row>
    <row r="166" spans="3:15" x14ac:dyDescent="0.25"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</row>
    <row r="167" spans="3:15" x14ac:dyDescent="0.25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</row>
    <row r="168" spans="3:15" x14ac:dyDescent="0.25"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</row>
    <row r="169" spans="3:15" x14ac:dyDescent="0.25"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</row>
    <row r="170" spans="3:15" x14ac:dyDescent="0.25"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</row>
    <row r="171" spans="3:15" x14ac:dyDescent="0.25"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</row>
    <row r="172" spans="3:15" x14ac:dyDescent="0.25"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</row>
    <row r="173" spans="3:15" x14ac:dyDescent="0.25"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</row>
    <row r="174" spans="3:15" x14ac:dyDescent="0.25"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</row>
    <row r="175" spans="3:15" x14ac:dyDescent="0.25"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</row>
    <row r="176" spans="3:15" x14ac:dyDescent="0.25"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</row>
    <row r="177" spans="3:15" x14ac:dyDescent="0.25"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</row>
    <row r="178" spans="3:15" x14ac:dyDescent="0.25"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</row>
    <row r="179" spans="3:15" x14ac:dyDescent="0.25"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</row>
    <row r="180" spans="3:15" x14ac:dyDescent="0.25"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</row>
    <row r="181" spans="3:15" x14ac:dyDescent="0.25"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</row>
    <row r="182" spans="3:15" x14ac:dyDescent="0.25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</row>
    <row r="183" spans="3:15" x14ac:dyDescent="0.25"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</row>
    <row r="184" spans="3:15" x14ac:dyDescent="0.25"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</row>
    <row r="185" spans="3:15" x14ac:dyDescent="0.25"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</row>
    <row r="186" spans="3:15" x14ac:dyDescent="0.25"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</row>
    <row r="187" spans="3:15" x14ac:dyDescent="0.25"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</row>
    <row r="188" spans="3:15" x14ac:dyDescent="0.25"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</row>
    <row r="189" spans="3:15" x14ac:dyDescent="0.25"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</row>
    <row r="190" spans="3:15" x14ac:dyDescent="0.25"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</row>
    <row r="191" spans="3:15" x14ac:dyDescent="0.25"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</row>
    <row r="192" spans="3:15" x14ac:dyDescent="0.25"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</row>
    <row r="193" spans="3:15" x14ac:dyDescent="0.25"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</row>
    <row r="194" spans="3:15" x14ac:dyDescent="0.25"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</row>
    <row r="195" spans="3:15" x14ac:dyDescent="0.25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</row>
    <row r="196" spans="3:15" x14ac:dyDescent="0.25"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</row>
    <row r="197" spans="3:15" x14ac:dyDescent="0.25"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</row>
    <row r="198" spans="3:15" x14ac:dyDescent="0.25"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</row>
    <row r="199" spans="3:15" x14ac:dyDescent="0.25"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</row>
    <row r="200" spans="3:15" x14ac:dyDescent="0.25"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</row>
    <row r="201" spans="3:15" x14ac:dyDescent="0.25"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</row>
    <row r="202" spans="3:15" x14ac:dyDescent="0.25"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</row>
    <row r="203" spans="3:15" x14ac:dyDescent="0.25"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</row>
    <row r="204" spans="3:15" x14ac:dyDescent="0.25"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</row>
    <row r="205" spans="3:15" x14ac:dyDescent="0.25"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</row>
    <row r="206" spans="3:15" x14ac:dyDescent="0.25"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</row>
    <row r="207" spans="3:15" x14ac:dyDescent="0.25"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</row>
    <row r="208" spans="3:15" x14ac:dyDescent="0.25"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</row>
    <row r="209" spans="3:15" x14ac:dyDescent="0.25"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</row>
    <row r="210" spans="3:15" x14ac:dyDescent="0.25"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</row>
    <row r="211" spans="3:15" x14ac:dyDescent="0.25"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</row>
    <row r="212" spans="3:15" x14ac:dyDescent="0.25"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</row>
    <row r="213" spans="3:15" x14ac:dyDescent="0.25"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</row>
    <row r="214" spans="3:15" x14ac:dyDescent="0.25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</row>
    <row r="215" spans="3:15" x14ac:dyDescent="0.25"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</row>
    <row r="216" spans="3:15" x14ac:dyDescent="0.25"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</row>
    <row r="217" spans="3:15" x14ac:dyDescent="0.25"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</row>
    <row r="218" spans="3:15" x14ac:dyDescent="0.25"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</row>
    <row r="219" spans="3:15" x14ac:dyDescent="0.25"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</row>
    <row r="220" spans="3:15" x14ac:dyDescent="0.25"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</row>
    <row r="221" spans="3:15" x14ac:dyDescent="0.25"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</row>
    <row r="222" spans="3:15" x14ac:dyDescent="0.25"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</row>
    <row r="223" spans="3:15" x14ac:dyDescent="0.25"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</row>
    <row r="224" spans="3:15" x14ac:dyDescent="0.25"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</row>
    <row r="225" spans="3:15" x14ac:dyDescent="0.25"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</row>
    <row r="226" spans="3:15" x14ac:dyDescent="0.25"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</row>
    <row r="227" spans="3:15" x14ac:dyDescent="0.25"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</row>
    <row r="228" spans="3:15" x14ac:dyDescent="0.25"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</row>
    <row r="229" spans="3:15" x14ac:dyDescent="0.25"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</row>
    <row r="230" spans="3:15" x14ac:dyDescent="0.25"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</row>
    <row r="231" spans="3:15" x14ac:dyDescent="0.25"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</row>
    <row r="232" spans="3:15" x14ac:dyDescent="0.25"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</row>
    <row r="233" spans="3:15" x14ac:dyDescent="0.25"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</row>
    <row r="234" spans="3:15" x14ac:dyDescent="0.25"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</row>
    <row r="235" spans="3:15" x14ac:dyDescent="0.25"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</row>
    <row r="236" spans="3:15" x14ac:dyDescent="0.25"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</row>
    <row r="237" spans="3:15" x14ac:dyDescent="0.25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</row>
    <row r="238" spans="3:15" x14ac:dyDescent="0.25"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</row>
    <row r="239" spans="3:15" x14ac:dyDescent="0.25"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</row>
    <row r="240" spans="3:15" x14ac:dyDescent="0.25"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</row>
    <row r="241" spans="3:15" x14ac:dyDescent="0.25"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</row>
    <row r="242" spans="3:15" x14ac:dyDescent="0.25"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</row>
    <row r="243" spans="3:15" x14ac:dyDescent="0.25"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</row>
    <row r="244" spans="3:15" x14ac:dyDescent="0.25"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</row>
    <row r="245" spans="3:15" x14ac:dyDescent="0.25"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</row>
    <row r="246" spans="3:15" x14ac:dyDescent="0.25"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</row>
    <row r="247" spans="3:15" x14ac:dyDescent="0.25"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</row>
    <row r="248" spans="3:15" x14ac:dyDescent="0.25"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</row>
    <row r="249" spans="3:15" x14ac:dyDescent="0.25"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</row>
    <row r="250" spans="3:15" x14ac:dyDescent="0.25"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</row>
    <row r="251" spans="3:15" x14ac:dyDescent="0.25"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</row>
    <row r="252" spans="3:15" x14ac:dyDescent="0.25"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</row>
    <row r="253" spans="3:15" x14ac:dyDescent="0.25"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</row>
    <row r="254" spans="3:15" x14ac:dyDescent="0.25"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</row>
    <row r="255" spans="3:15" x14ac:dyDescent="0.25"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</row>
    <row r="256" spans="3:15" x14ac:dyDescent="0.25"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</row>
    <row r="257" spans="3:15" x14ac:dyDescent="0.25"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</row>
    <row r="258" spans="3:15" x14ac:dyDescent="0.25"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</row>
    <row r="259" spans="3:15" x14ac:dyDescent="0.25"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</row>
    <row r="260" spans="3:15" x14ac:dyDescent="0.25"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</row>
    <row r="261" spans="3:15" x14ac:dyDescent="0.25"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</row>
    <row r="262" spans="3:15" x14ac:dyDescent="0.25"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</row>
    <row r="263" spans="3:15" x14ac:dyDescent="0.25"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</row>
    <row r="264" spans="3:15" x14ac:dyDescent="0.25"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</row>
    <row r="265" spans="3:15" x14ac:dyDescent="0.25"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</row>
    <row r="266" spans="3:15" x14ac:dyDescent="0.25"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</row>
    <row r="267" spans="3:15" x14ac:dyDescent="0.25"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</row>
    <row r="268" spans="3:15" x14ac:dyDescent="0.25"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</row>
    <row r="269" spans="3:15" x14ac:dyDescent="0.25"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</row>
    <row r="270" spans="3:15" x14ac:dyDescent="0.25"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</row>
    <row r="271" spans="3:15" x14ac:dyDescent="0.25"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</row>
    <row r="272" spans="3:15" x14ac:dyDescent="0.25"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</row>
    <row r="273" spans="3:15" x14ac:dyDescent="0.25"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</row>
    <row r="274" spans="3:15" x14ac:dyDescent="0.25"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</row>
    <row r="275" spans="3:15" x14ac:dyDescent="0.25"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</row>
    <row r="276" spans="3:15" x14ac:dyDescent="0.25"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</row>
  </sheetData>
  <autoFilter ref="A1:N276" xr:uid="{7D0EEA70-3C52-4558-8972-ACB19617FAE9}"/>
  <mergeCells count="1">
    <mergeCell ref="R7:T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9A-B149-49CF-8BD4-A17DA346A99B}">
  <sheetPr codeName="Hoja2"/>
  <dimension ref="B1:N10"/>
  <sheetViews>
    <sheetView workbookViewId="0">
      <selection activeCell="I6" sqref="I6"/>
    </sheetView>
  </sheetViews>
  <sheetFormatPr baseColWidth="10" defaultRowHeight="15" x14ac:dyDescent="0.25"/>
  <cols>
    <col min="2" max="2" width="17.85546875" bestFit="1" customWidth="1"/>
  </cols>
  <sheetData>
    <row r="1" spans="2:14" x14ac:dyDescent="0.25"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6" t="s">
        <v>9</v>
      </c>
      <c r="I1" s="6" t="s">
        <v>10</v>
      </c>
      <c r="J1" s="6" t="s">
        <v>11</v>
      </c>
      <c r="K1" s="6" t="s">
        <v>12</v>
      </c>
      <c r="L1" s="6" t="s">
        <v>13</v>
      </c>
      <c r="M1" s="6" t="s">
        <v>14</v>
      </c>
      <c r="N1" s="6" t="s">
        <v>15</v>
      </c>
    </row>
    <row r="2" spans="2:14" x14ac:dyDescent="0.25">
      <c r="B2" s="1" t="s">
        <v>35</v>
      </c>
      <c r="C2" s="18">
        <v>2482.67</v>
      </c>
      <c r="D2" s="18">
        <v>2281</v>
      </c>
      <c r="E2" s="18">
        <v>2360</v>
      </c>
      <c r="F2" s="18">
        <v>2360</v>
      </c>
      <c r="G2" s="18">
        <v>2360</v>
      </c>
      <c r="H2" s="18">
        <v>2500</v>
      </c>
      <c r="I2" s="18">
        <v>2500</v>
      </c>
      <c r="J2" s="18">
        <v>2500</v>
      </c>
      <c r="K2" s="18">
        <v>2500</v>
      </c>
      <c r="L2" s="18">
        <v>2500</v>
      </c>
      <c r="M2" s="18">
        <v>2500</v>
      </c>
      <c r="N2" s="18">
        <v>2500</v>
      </c>
    </row>
    <row r="3" spans="2:14" x14ac:dyDescent="0.25">
      <c r="B3" s="1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2:14" x14ac:dyDescent="0.25">
      <c r="B4" t="s">
        <v>53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</row>
    <row r="5" spans="2:14" x14ac:dyDescent="0.25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</row>
    <row r="6" spans="2:14" x14ac:dyDescent="0.25"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</row>
    <row r="7" spans="2:14" x14ac:dyDescent="0.25"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</row>
    <row r="10" spans="2:14" x14ac:dyDescent="0.25">
      <c r="C10" s="16">
        <f>SUM(C2:C3)</f>
        <v>2482.67</v>
      </c>
      <c r="D10" s="16">
        <f t="shared" ref="D10:N10" si="0">SUM(D2:D3)</f>
        <v>2281</v>
      </c>
      <c r="E10" s="16">
        <f t="shared" si="0"/>
        <v>2360</v>
      </c>
      <c r="F10" s="16">
        <f t="shared" si="0"/>
        <v>2360</v>
      </c>
      <c r="G10" s="16">
        <f t="shared" si="0"/>
        <v>2360</v>
      </c>
      <c r="H10" s="16">
        <f t="shared" si="0"/>
        <v>2500</v>
      </c>
      <c r="I10" s="16">
        <f t="shared" si="0"/>
        <v>2500</v>
      </c>
      <c r="J10" s="16">
        <f t="shared" si="0"/>
        <v>2500</v>
      </c>
      <c r="K10" s="16">
        <f t="shared" si="0"/>
        <v>2500</v>
      </c>
      <c r="L10" s="16">
        <f t="shared" si="0"/>
        <v>2500</v>
      </c>
      <c r="M10" s="16">
        <f t="shared" si="0"/>
        <v>2500</v>
      </c>
      <c r="N10" s="16">
        <f t="shared" si="0"/>
        <v>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5256A-F0EA-49AE-B295-665FE6FE0437}">
  <sheetPr codeName="Hoja3"/>
  <dimension ref="A1:F958"/>
  <sheetViews>
    <sheetView workbookViewId="0">
      <selection activeCell="C12" sqref="C12"/>
    </sheetView>
  </sheetViews>
  <sheetFormatPr baseColWidth="10" defaultRowHeight="15" x14ac:dyDescent="0.25"/>
  <cols>
    <col min="1" max="1" width="13.42578125" bestFit="1" customWidth="1"/>
    <col min="3" max="3" width="52.7109375" customWidth="1"/>
    <col min="4" max="4" width="10.85546875" style="16"/>
  </cols>
  <sheetData>
    <row r="1" spans="1:6" ht="19.5" thickBot="1" x14ac:dyDescent="0.35">
      <c r="A1" s="33" t="s">
        <v>47</v>
      </c>
      <c r="B1" s="33" t="s">
        <v>48</v>
      </c>
      <c r="C1" s="33" t="s">
        <v>50</v>
      </c>
      <c r="D1" s="35">
        <f>TOTALES!R6</f>
        <v>0</v>
      </c>
    </row>
    <row r="2" spans="1:6" ht="19.5" thickBot="1" x14ac:dyDescent="0.35">
      <c r="A2" s="34"/>
      <c r="B2" s="23"/>
      <c r="C2" s="22"/>
      <c r="D2" s="16">
        <f>$B$10+$D$3</f>
        <v>0</v>
      </c>
      <c r="F2" s="21"/>
    </row>
    <row r="3" spans="1:6" ht="19.5" thickBot="1" x14ac:dyDescent="0.35">
      <c r="A3" s="34"/>
      <c r="B3" s="23"/>
      <c r="C3" s="22"/>
      <c r="D3" s="16">
        <f>$B$11+$D$4</f>
        <v>0</v>
      </c>
    </row>
    <row r="4" spans="1:6" ht="19.5" thickBot="1" x14ac:dyDescent="0.35">
      <c r="A4" s="34"/>
      <c r="B4" s="23"/>
      <c r="C4" s="22"/>
      <c r="D4" s="16">
        <f>$B$12+$D$5</f>
        <v>0</v>
      </c>
    </row>
    <row r="5" spans="1:6" ht="19.5" thickBot="1" x14ac:dyDescent="0.35">
      <c r="A5" s="34"/>
      <c r="B5" s="23"/>
      <c r="C5" s="22"/>
      <c r="D5" s="16">
        <f>$B$13+$D$6</f>
        <v>0</v>
      </c>
    </row>
    <row r="6" spans="1:6" ht="19.5" thickBot="1" x14ac:dyDescent="0.35">
      <c r="A6" s="34"/>
      <c r="B6" s="23"/>
      <c r="C6" s="22"/>
      <c r="D6" s="16">
        <f>$B$14+$D$7</f>
        <v>0</v>
      </c>
    </row>
    <row r="7" spans="1:6" ht="19.5" thickBot="1" x14ac:dyDescent="0.35">
      <c r="A7" s="34"/>
      <c r="B7" s="23"/>
      <c r="C7" s="22"/>
      <c r="D7" s="16">
        <f>$B$15+$D$8</f>
        <v>0</v>
      </c>
    </row>
    <row r="8" spans="1:6" ht="19.5" thickBot="1" x14ac:dyDescent="0.35">
      <c r="A8" s="34"/>
      <c r="B8" s="23"/>
      <c r="C8" s="22"/>
      <c r="D8" s="16">
        <f>$B$16+$D$9</f>
        <v>0</v>
      </c>
    </row>
    <row r="9" spans="1:6" ht="19.5" thickBot="1" x14ac:dyDescent="0.35">
      <c r="A9" s="34"/>
      <c r="B9" s="23"/>
      <c r="C9" s="22"/>
      <c r="D9" s="16">
        <f>$B$17+$D$10</f>
        <v>0</v>
      </c>
    </row>
    <row r="10" spans="1:6" ht="19.5" thickBot="1" x14ac:dyDescent="0.35">
      <c r="A10" s="34"/>
      <c r="B10" s="23"/>
      <c r="C10" s="22"/>
      <c r="D10" s="16">
        <f>$B$18+$D$11</f>
        <v>0</v>
      </c>
    </row>
    <row r="11" spans="1:6" ht="19.5" thickBot="1" x14ac:dyDescent="0.35">
      <c r="A11" s="34"/>
      <c r="B11" s="23"/>
      <c r="C11" s="22"/>
      <c r="D11" s="16">
        <f>$B$19+$D$12</f>
        <v>0</v>
      </c>
    </row>
    <row r="12" spans="1:6" ht="15.75" thickBot="1" x14ac:dyDescent="0.3">
      <c r="A12" s="21"/>
      <c r="B12" s="31"/>
      <c r="C12" s="32"/>
      <c r="D12" s="16">
        <f>$B$20+$D$13</f>
        <v>0</v>
      </c>
    </row>
    <row r="13" spans="1:6" ht="15.75" thickBot="1" x14ac:dyDescent="0.3">
      <c r="A13" s="21"/>
      <c r="B13" s="23"/>
      <c r="C13" s="22"/>
      <c r="D13" s="16">
        <f>$B$21+$D$14</f>
        <v>0</v>
      </c>
    </row>
    <row r="14" spans="1:6" ht="15.75" thickBot="1" x14ac:dyDescent="0.3">
      <c r="A14" s="21"/>
      <c r="B14" s="23"/>
      <c r="C14" s="22"/>
      <c r="D14" s="16">
        <f>$B$22+$D$15</f>
        <v>0</v>
      </c>
    </row>
    <row r="15" spans="1:6" ht="15.75" thickBot="1" x14ac:dyDescent="0.3">
      <c r="A15" s="21"/>
      <c r="B15" s="23"/>
      <c r="C15" s="22"/>
      <c r="D15" s="16">
        <f>$B$23+$D$16</f>
        <v>0</v>
      </c>
    </row>
    <row r="16" spans="1:6" ht="15.75" thickBot="1" x14ac:dyDescent="0.3">
      <c r="A16" s="21"/>
      <c r="B16" s="23"/>
      <c r="C16" s="22"/>
      <c r="D16" s="16">
        <f>$B$24+$D$17</f>
        <v>0</v>
      </c>
    </row>
    <row r="17" spans="1:4" ht="15.75" thickBot="1" x14ac:dyDescent="0.3">
      <c r="A17" s="21"/>
      <c r="B17" s="23"/>
      <c r="C17" s="22"/>
      <c r="D17" s="16">
        <f>$B$25+$D$18</f>
        <v>0</v>
      </c>
    </row>
    <row r="18" spans="1:4" ht="15.75" thickBot="1" x14ac:dyDescent="0.3">
      <c r="A18" s="21"/>
      <c r="B18" s="23"/>
      <c r="C18" s="22"/>
      <c r="D18" s="16">
        <f>$B$26+$D$19</f>
        <v>0</v>
      </c>
    </row>
    <row r="19" spans="1:4" ht="15.75" thickBot="1" x14ac:dyDescent="0.3">
      <c r="A19" s="21"/>
      <c r="B19" s="23"/>
      <c r="C19" s="22"/>
      <c r="D19" s="16">
        <f>$B$27+$D$20</f>
        <v>0</v>
      </c>
    </row>
    <row r="20" spans="1:4" ht="15.75" thickBot="1" x14ac:dyDescent="0.3">
      <c r="A20" s="21"/>
      <c r="B20" s="23"/>
      <c r="C20" s="22"/>
      <c r="D20" s="16">
        <f>$B$28+$D$21</f>
        <v>0</v>
      </c>
    </row>
    <row r="21" spans="1:4" ht="15.75" thickBot="1" x14ac:dyDescent="0.3">
      <c r="A21" s="21"/>
      <c r="B21" s="23"/>
      <c r="C21" s="22"/>
      <c r="D21" s="16">
        <f t="shared" ref="D21:D84" si="0">B29+D22</f>
        <v>0</v>
      </c>
    </row>
    <row r="22" spans="1:4" ht="15.75" thickBot="1" x14ac:dyDescent="0.3">
      <c r="A22" s="21"/>
      <c r="B22" s="23"/>
      <c r="C22" s="22"/>
      <c r="D22" s="16">
        <f t="shared" si="0"/>
        <v>0</v>
      </c>
    </row>
    <row r="23" spans="1:4" ht="15.75" thickBot="1" x14ac:dyDescent="0.3">
      <c r="A23" s="21"/>
      <c r="B23" s="23"/>
      <c r="C23" s="22"/>
      <c r="D23" s="16">
        <f t="shared" si="0"/>
        <v>0</v>
      </c>
    </row>
    <row r="24" spans="1:4" ht="15.75" thickBot="1" x14ac:dyDescent="0.3">
      <c r="A24" s="21"/>
      <c r="B24" s="23"/>
      <c r="C24" s="22"/>
      <c r="D24" s="16">
        <f t="shared" si="0"/>
        <v>0</v>
      </c>
    </row>
    <row r="25" spans="1:4" ht="15.75" thickBot="1" x14ac:dyDescent="0.3">
      <c r="A25" s="21"/>
      <c r="B25" s="23"/>
      <c r="C25" s="22"/>
      <c r="D25" s="16">
        <f t="shared" si="0"/>
        <v>0</v>
      </c>
    </row>
    <row r="26" spans="1:4" ht="15.75" thickBot="1" x14ac:dyDescent="0.3">
      <c r="A26" s="21"/>
      <c r="B26" s="23"/>
      <c r="C26" s="22"/>
      <c r="D26" s="16">
        <f t="shared" si="0"/>
        <v>0</v>
      </c>
    </row>
    <row r="27" spans="1:4" ht="15.75" thickBot="1" x14ac:dyDescent="0.3">
      <c r="A27" s="21"/>
      <c r="B27" s="23"/>
      <c r="C27" s="22"/>
      <c r="D27" s="16">
        <f t="shared" si="0"/>
        <v>0</v>
      </c>
    </row>
    <row r="28" spans="1:4" ht="15.75" thickBot="1" x14ac:dyDescent="0.3">
      <c r="A28" s="21"/>
      <c r="B28" s="23"/>
      <c r="C28" s="22"/>
      <c r="D28" s="16">
        <f t="shared" si="0"/>
        <v>0</v>
      </c>
    </row>
    <row r="29" spans="1:4" ht="15.75" thickBot="1" x14ac:dyDescent="0.3">
      <c r="A29" s="21"/>
      <c r="B29" s="23"/>
      <c r="C29" s="22"/>
      <c r="D29" s="16">
        <f t="shared" si="0"/>
        <v>0</v>
      </c>
    </row>
    <row r="30" spans="1:4" ht="15.75" thickBot="1" x14ac:dyDescent="0.3">
      <c r="A30" s="21"/>
      <c r="B30" s="23"/>
      <c r="C30" s="22"/>
      <c r="D30" s="16">
        <f t="shared" si="0"/>
        <v>0</v>
      </c>
    </row>
    <row r="31" spans="1:4" ht="15.75" thickBot="1" x14ac:dyDescent="0.3">
      <c r="A31" s="21"/>
      <c r="B31" s="23"/>
      <c r="C31" s="22"/>
      <c r="D31" s="16">
        <f t="shared" si="0"/>
        <v>0</v>
      </c>
    </row>
    <row r="32" spans="1:4" ht="15.75" thickBot="1" x14ac:dyDescent="0.3">
      <c r="A32" s="21"/>
      <c r="B32" s="23"/>
      <c r="C32" s="22"/>
      <c r="D32" s="16">
        <f t="shared" si="0"/>
        <v>0</v>
      </c>
    </row>
    <row r="33" spans="1:4" ht="15.75" thickBot="1" x14ac:dyDescent="0.3">
      <c r="A33" s="21"/>
      <c r="B33" s="23"/>
      <c r="C33" s="22"/>
      <c r="D33" s="16">
        <f t="shared" si="0"/>
        <v>0</v>
      </c>
    </row>
    <row r="34" spans="1:4" ht="15.75" thickBot="1" x14ac:dyDescent="0.3">
      <c r="A34" s="21"/>
      <c r="B34" s="23"/>
      <c r="C34" s="22"/>
      <c r="D34" s="16">
        <f t="shared" si="0"/>
        <v>0</v>
      </c>
    </row>
    <row r="35" spans="1:4" ht="15.75" thickBot="1" x14ac:dyDescent="0.3">
      <c r="A35" s="21"/>
      <c r="B35" s="23"/>
      <c r="C35" s="22"/>
      <c r="D35" s="16">
        <f t="shared" si="0"/>
        <v>0</v>
      </c>
    </row>
    <row r="36" spans="1:4" ht="15.75" thickBot="1" x14ac:dyDescent="0.3">
      <c r="D36" s="16">
        <f t="shared" si="0"/>
        <v>0</v>
      </c>
    </row>
    <row r="37" spans="1:4" ht="15.75" thickBot="1" x14ac:dyDescent="0.3">
      <c r="A37" s="21"/>
      <c r="B37" s="23"/>
      <c r="C37" s="22"/>
      <c r="D37" s="16">
        <f t="shared" si="0"/>
        <v>0</v>
      </c>
    </row>
    <row r="38" spans="1:4" ht="15.75" thickBot="1" x14ac:dyDescent="0.3">
      <c r="A38" s="21"/>
      <c r="B38" s="23"/>
      <c r="C38" s="22"/>
      <c r="D38" s="16">
        <f t="shared" si="0"/>
        <v>0</v>
      </c>
    </row>
    <row r="39" spans="1:4" ht="15.75" thickBot="1" x14ac:dyDescent="0.3">
      <c r="A39" s="21"/>
      <c r="B39" s="23"/>
      <c r="C39" s="22"/>
      <c r="D39" s="16">
        <f t="shared" si="0"/>
        <v>0</v>
      </c>
    </row>
    <row r="40" spans="1:4" ht="15.75" thickBot="1" x14ac:dyDescent="0.3">
      <c r="A40" s="21"/>
      <c r="B40" s="22"/>
      <c r="C40" s="22"/>
      <c r="D40" s="16">
        <f t="shared" si="0"/>
        <v>0</v>
      </c>
    </row>
    <row r="41" spans="1:4" ht="15.75" thickBot="1" x14ac:dyDescent="0.3">
      <c r="A41" s="21"/>
      <c r="B41" s="22"/>
      <c r="C41" s="22"/>
      <c r="D41" s="16">
        <f t="shared" si="0"/>
        <v>0</v>
      </c>
    </row>
    <row r="42" spans="1:4" ht="15.75" thickBot="1" x14ac:dyDescent="0.3">
      <c r="A42" s="21"/>
      <c r="B42" s="22"/>
      <c r="C42" s="22"/>
      <c r="D42" s="16">
        <f t="shared" si="0"/>
        <v>0</v>
      </c>
    </row>
    <row r="43" spans="1:4" x14ac:dyDescent="0.25">
      <c r="D43" s="16">
        <f t="shared" si="0"/>
        <v>0</v>
      </c>
    </row>
    <row r="44" spans="1:4" x14ac:dyDescent="0.25">
      <c r="D44" s="16">
        <f t="shared" si="0"/>
        <v>0</v>
      </c>
    </row>
    <row r="45" spans="1:4" x14ac:dyDescent="0.25">
      <c r="D45" s="16">
        <f t="shared" si="0"/>
        <v>0</v>
      </c>
    </row>
    <row r="46" spans="1:4" x14ac:dyDescent="0.25">
      <c r="D46" s="16">
        <f t="shared" si="0"/>
        <v>0</v>
      </c>
    </row>
    <row r="47" spans="1:4" x14ac:dyDescent="0.25">
      <c r="D47" s="16">
        <f t="shared" si="0"/>
        <v>0</v>
      </c>
    </row>
    <row r="48" spans="1:4" x14ac:dyDescent="0.25">
      <c r="D48" s="16">
        <f t="shared" si="0"/>
        <v>0</v>
      </c>
    </row>
    <row r="49" spans="4:4" x14ac:dyDescent="0.25">
      <c r="D49" s="16">
        <f t="shared" si="0"/>
        <v>0</v>
      </c>
    </row>
    <row r="50" spans="4:4" x14ac:dyDescent="0.25">
      <c r="D50" s="16">
        <f t="shared" si="0"/>
        <v>0</v>
      </c>
    </row>
    <row r="51" spans="4:4" x14ac:dyDescent="0.25">
      <c r="D51" s="16">
        <f t="shared" si="0"/>
        <v>0</v>
      </c>
    </row>
    <row r="52" spans="4:4" x14ac:dyDescent="0.25">
      <c r="D52" s="16">
        <f t="shared" si="0"/>
        <v>0</v>
      </c>
    </row>
    <row r="53" spans="4:4" x14ac:dyDescent="0.25">
      <c r="D53" s="16">
        <f t="shared" si="0"/>
        <v>0</v>
      </c>
    </row>
    <row r="54" spans="4:4" x14ac:dyDescent="0.25">
      <c r="D54" s="16">
        <f t="shared" si="0"/>
        <v>0</v>
      </c>
    </row>
    <row r="55" spans="4:4" x14ac:dyDescent="0.25">
      <c r="D55" s="16">
        <f t="shared" si="0"/>
        <v>0</v>
      </c>
    </row>
    <row r="56" spans="4:4" x14ac:dyDescent="0.25">
      <c r="D56" s="16">
        <f t="shared" si="0"/>
        <v>0</v>
      </c>
    </row>
    <row r="57" spans="4:4" x14ac:dyDescent="0.25">
      <c r="D57" s="16">
        <f t="shared" si="0"/>
        <v>0</v>
      </c>
    </row>
    <row r="58" spans="4:4" x14ac:dyDescent="0.25">
      <c r="D58" s="16">
        <f t="shared" si="0"/>
        <v>0</v>
      </c>
    </row>
    <row r="59" spans="4:4" x14ac:dyDescent="0.25">
      <c r="D59" s="16">
        <f t="shared" si="0"/>
        <v>0</v>
      </c>
    </row>
    <row r="60" spans="4:4" x14ac:dyDescent="0.25">
      <c r="D60" s="16">
        <f t="shared" si="0"/>
        <v>0</v>
      </c>
    </row>
    <row r="61" spans="4:4" x14ac:dyDescent="0.25">
      <c r="D61" s="16">
        <f t="shared" si="0"/>
        <v>0</v>
      </c>
    </row>
    <row r="62" spans="4:4" x14ac:dyDescent="0.25">
      <c r="D62" s="16">
        <f t="shared" si="0"/>
        <v>0</v>
      </c>
    </row>
    <row r="63" spans="4:4" x14ac:dyDescent="0.25">
      <c r="D63" s="16">
        <f t="shared" si="0"/>
        <v>0</v>
      </c>
    </row>
    <row r="64" spans="4:4" x14ac:dyDescent="0.25">
      <c r="D64" s="16">
        <f t="shared" si="0"/>
        <v>0</v>
      </c>
    </row>
    <row r="65" spans="4:4" x14ac:dyDescent="0.25">
      <c r="D65" s="16">
        <f t="shared" si="0"/>
        <v>0</v>
      </c>
    </row>
    <row r="66" spans="4:4" x14ac:dyDescent="0.25">
      <c r="D66" s="16">
        <f t="shared" si="0"/>
        <v>0</v>
      </c>
    </row>
    <row r="67" spans="4:4" x14ac:dyDescent="0.25">
      <c r="D67" s="16">
        <f t="shared" si="0"/>
        <v>0</v>
      </c>
    </row>
    <row r="68" spans="4:4" x14ac:dyDescent="0.25">
      <c r="D68" s="16">
        <f t="shared" si="0"/>
        <v>0</v>
      </c>
    </row>
    <row r="69" spans="4:4" x14ac:dyDescent="0.25">
      <c r="D69" s="16">
        <f t="shared" si="0"/>
        <v>0</v>
      </c>
    </row>
    <row r="70" spans="4:4" x14ac:dyDescent="0.25">
      <c r="D70" s="16">
        <f t="shared" si="0"/>
        <v>0</v>
      </c>
    </row>
    <row r="71" spans="4:4" x14ac:dyDescent="0.25">
      <c r="D71" s="16">
        <f t="shared" si="0"/>
        <v>0</v>
      </c>
    </row>
    <row r="72" spans="4:4" x14ac:dyDescent="0.25">
      <c r="D72" s="16">
        <f t="shared" si="0"/>
        <v>0</v>
      </c>
    </row>
    <row r="73" spans="4:4" x14ac:dyDescent="0.25">
      <c r="D73" s="16">
        <f t="shared" si="0"/>
        <v>0</v>
      </c>
    </row>
    <row r="74" spans="4:4" x14ac:dyDescent="0.25">
      <c r="D74" s="16">
        <f t="shared" si="0"/>
        <v>0</v>
      </c>
    </row>
    <row r="75" spans="4:4" x14ac:dyDescent="0.25">
      <c r="D75" s="16">
        <f t="shared" si="0"/>
        <v>0</v>
      </c>
    </row>
    <row r="76" spans="4:4" x14ac:dyDescent="0.25">
      <c r="D76" s="16">
        <f t="shared" si="0"/>
        <v>0</v>
      </c>
    </row>
    <row r="77" spans="4:4" x14ac:dyDescent="0.25">
      <c r="D77" s="16">
        <f t="shared" si="0"/>
        <v>0</v>
      </c>
    </row>
    <row r="78" spans="4:4" x14ac:dyDescent="0.25">
      <c r="D78" s="16">
        <f t="shared" si="0"/>
        <v>0</v>
      </c>
    </row>
    <row r="79" spans="4:4" x14ac:dyDescent="0.25">
      <c r="D79" s="16">
        <f t="shared" si="0"/>
        <v>0</v>
      </c>
    </row>
    <row r="80" spans="4:4" x14ac:dyDescent="0.25">
      <c r="D80" s="16">
        <f t="shared" si="0"/>
        <v>0</v>
      </c>
    </row>
    <row r="81" spans="4:4" x14ac:dyDescent="0.25">
      <c r="D81" s="16">
        <f t="shared" si="0"/>
        <v>0</v>
      </c>
    </row>
    <row r="82" spans="4:4" x14ac:dyDescent="0.25">
      <c r="D82" s="16">
        <f t="shared" si="0"/>
        <v>0</v>
      </c>
    </row>
    <row r="83" spans="4:4" x14ac:dyDescent="0.25">
      <c r="D83" s="16">
        <f t="shared" si="0"/>
        <v>0</v>
      </c>
    </row>
    <row r="84" spans="4:4" x14ac:dyDescent="0.25">
      <c r="D84" s="16">
        <f t="shared" si="0"/>
        <v>0</v>
      </c>
    </row>
    <row r="85" spans="4:4" x14ac:dyDescent="0.25">
      <c r="D85" s="16">
        <f t="shared" ref="D85:D148" si="1">B93+D86</f>
        <v>0</v>
      </c>
    </row>
    <row r="86" spans="4:4" x14ac:dyDescent="0.25">
      <c r="D86" s="16">
        <f t="shared" si="1"/>
        <v>0</v>
      </c>
    </row>
    <row r="87" spans="4:4" x14ac:dyDescent="0.25">
      <c r="D87" s="16">
        <f t="shared" si="1"/>
        <v>0</v>
      </c>
    </row>
    <row r="88" spans="4:4" x14ac:dyDescent="0.25">
      <c r="D88" s="16">
        <f t="shared" si="1"/>
        <v>0</v>
      </c>
    </row>
    <row r="89" spans="4:4" x14ac:dyDescent="0.25">
      <c r="D89" s="16">
        <f t="shared" si="1"/>
        <v>0</v>
      </c>
    </row>
    <row r="90" spans="4:4" x14ac:dyDescent="0.25">
      <c r="D90" s="16">
        <f t="shared" si="1"/>
        <v>0</v>
      </c>
    </row>
    <row r="91" spans="4:4" x14ac:dyDescent="0.25">
      <c r="D91" s="16">
        <f t="shared" si="1"/>
        <v>0</v>
      </c>
    </row>
    <row r="92" spans="4:4" x14ac:dyDescent="0.25">
      <c r="D92" s="16">
        <f t="shared" si="1"/>
        <v>0</v>
      </c>
    </row>
    <row r="93" spans="4:4" x14ac:dyDescent="0.25">
      <c r="D93" s="16">
        <f t="shared" si="1"/>
        <v>0</v>
      </c>
    </row>
    <row r="94" spans="4:4" x14ac:dyDescent="0.25">
      <c r="D94" s="16">
        <f t="shared" si="1"/>
        <v>0</v>
      </c>
    </row>
    <row r="95" spans="4:4" x14ac:dyDescent="0.25">
      <c r="D95" s="16">
        <f t="shared" si="1"/>
        <v>0</v>
      </c>
    </row>
    <row r="96" spans="4:4" x14ac:dyDescent="0.25">
      <c r="D96" s="16">
        <f t="shared" si="1"/>
        <v>0</v>
      </c>
    </row>
    <row r="97" spans="4:4" x14ac:dyDescent="0.25">
      <c r="D97" s="16">
        <f t="shared" si="1"/>
        <v>0</v>
      </c>
    </row>
    <row r="98" spans="4:4" x14ac:dyDescent="0.25">
      <c r="D98" s="16">
        <f t="shared" si="1"/>
        <v>0</v>
      </c>
    </row>
    <row r="99" spans="4:4" x14ac:dyDescent="0.25">
      <c r="D99" s="16">
        <f t="shared" si="1"/>
        <v>0</v>
      </c>
    </row>
    <row r="100" spans="4:4" x14ac:dyDescent="0.25">
      <c r="D100" s="16">
        <f t="shared" si="1"/>
        <v>0</v>
      </c>
    </row>
    <row r="101" spans="4:4" x14ac:dyDescent="0.25">
      <c r="D101" s="16">
        <f t="shared" si="1"/>
        <v>0</v>
      </c>
    </row>
    <row r="102" spans="4:4" x14ac:dyDescent="0.25">
      <c r="D102" s="16">
        <f t="shared" si="1"/>
        <v>0</v>
      </c>
    </row>
    <row r="103" spans="4:4" x14ac:dyDescent="0.25">
      <c r="D103" s="16">
        <f t="shared" si="1"/>
        <v>0</v>
      </c>
    </row>
    <row r="104" spans="4:4" x14ac:dyDescent="0.25">
      <c r="D104" s="16">
        <f t="shared" si="1"/>
        <v>0</v>
      </c>
    </row>
    <row r="105" spans="4:4" x14ac:dyDescent="0.25">
      <c r="D105" s="16">
        <f t="shared" si="1"/>
        <v>0</v>
      </c>
    </row>
    <row r="106" spans="4:4" x14ac:dyDescent="0.25">
      <c r="D106" s="16">
        <f t="shared" si="1"/>
        <v>0</v>
      </c>
    </row>
    <row r="107" spans="4:4" x14ac:dyDescent="0.25">
      <c r="D107" s="16">
        <f t="shared" si="1"/>
        <v>0</v>
      </c>
    </row>
    <row r="108" spans="4:4" x14ac:dyDescent="0.25">
      <c r="D108" s="16">
        <f t="shared" si="1"/>
        <v>0</v>
      </c>
    </row>
    <row r="109" spans="4:4" x14ac:dyDescent="0.25">
      <c r="D109" s="16">
        <f t="shared" si="1"/>
        <v>0</v>
      </c>
    </row>
    <row r="110" spans="4:4" x14ac:dyDescent="0.25">
      <c r="D110" s="16">
        <f t="shared" si="1"/>
        <v>0</v>
      </c>
    </row>
    <row r="111" spans="4:4" x14ac:dyDescent="0.25">
      <c r="D111" s="16">
        <f t="shared" si="1"/>
        <v>0</v>
      </c>
    </row>
    <row r="112" spans="4:4" x14ac:dyDescent="0.25">
      <c r="D112" s="16">
        <f t="shared" si="1"/>
        <v>0</v>
      </c>
    </row>
    <row r="113" spans="4:4" x14ac:dyDescent="0.25">
      <c r="D113" s="16">
        <f t="shared" si="1"/>
        <v>0</v>
      </c>
    </row>
    <row r="114" spans="4:4" x14ac:dyDescent="0.25">
      <c r="D114" s="16">
        <f t="shared" si="1"/>
        <v>0</v>
      </c>
    </row>
    <row r="115" spans="4:4" x14ac:dyDescent="0.25">
      <c r="D115" s="16">
        <f t="shared" si="1"/>
        <v>0</v>
      </c>
    </row>
    <row r="116" spans="4:4" x14ac:dyDescent="0.25">
      <c r="D116" s="16">
        <f t="shared" si="1"/>
        <v>0</v>
      </c>
    </row>
    <row r="117" spans="4:4" x14ac:dyDescent="0.25">
      <c r="D117" s="16">
        <f t="shared" si="1"/>
        <v>0</v>
      </c>
    </row>
    <row r="118" spans="4:4" x14ac:dyDescent="0.25">
      <c r="D118" s="16">
        <f t="shared" si="1"/>
        <v>0</v>
      </c>
    </row>
    <row r="119" spans="4:4" x14ac:dyDescent="0.25">
      <c r="D119" s="16">
        <f t="shared" si="1"/>
        <v>0</v>
      </c>
    </row>
    <row r="120" spans="4:4" x14ac:dyDescent="0.25">
      <c r="D120" s="16">
        <f t="shared" si="1"/>
        <v>0</v>
      </c>
    </row>
    <row r="121" spans="4:4" x14ac:dyDescent="0.25">
      <c r="D121" s="16">
        <f t="shared" si="1"/>
        <v>0</v>
      </c>
    </row>
    <row r="122" spans="4:4" x14ac:dyDescent="0.25">
      <c r="D122" s="16">
        <f t="shared" si="1"/>
        <v>0</v>
      </c>
    </row>
    <row r="123" spans="4:4" x14ac:dyDescent="0.25">
      <c r="D123" s="16">
        <f t="shared" si="1"/>
        <v>0</v>
      </c>
    </row>
    <row r="124" spans="4:4" x14ac:dyDescent="0.25">
      <c r="D124" s="16">
        <f t="shared" si="1"/>
        <v>0</v>
      </c>
    </row>
    <row r="125" spans="4:4" x14ac:dyDescent="0.25">
      <c r="D125" s="16">
        <f t="shared" si="1"/>
        <v>0</v>
      </c>
    </row>
    <row r="126" spans="4:4" x14ac:dyDescent="0.25">
      <c r="D126" s="16">
        <f t="shared" si="1"/>
        <v>0</v>
      </c>
    </row>
    <row r="127" spans="4:4" x14ac:dyDescent="0.25">
      <c r="D127" s="16">
        <f t="shared" si="1"/>
        <v>0</v>
      </c>
    </row>
    <row r="128" spans="4:4" x14ac:dyDescent="0.25">
      <c r="D128" s="16">
        <f t="shared" si="1"/>
        <v>0</v>
      </c>
    </row>
    <row r="129" spans="4:4" x14ac:dyDescent="0.25">
      <c r="D129" s="16">
        <f t="shared" si="1"/>
        <v>0</v>
      </c>
    </row>
    <row r="130" spans="4:4" x14ac:dyDescent="0.25">
      <c r="D130" s="16">
        <f t="shared" si="1"/>
        <v>0</v>
      </c>
    </row>
    <row r="131" spans="4:4" x14ac:dyDescent="0.25">
      <c r="D131" s="16">
        <f t="shared" si="1"/>
        <v>0</v>
      </c>
    </row>
    <row r="132" spans="4:4" x14ac:dyDescent="0.25">
      <c r="D132" s="16">
        <f t="shared" si="1"/>
        <v>0</v>
      </c>
    </row>
    <row r="133" spans="4:4" x14ac:dyDescent="0.25">
      <c r="D133" s="16">
        <f t="shared" si="1"/>
        <v>0</v>
      </c>
    </row>
    <row r="134" spans="4:4" x14ac:dyDescent="0.25">
      <c r="D134" s="16">
        <f t="shared" si="1"/>
        <v>0</v>
      </c>
    </row>
    <row r="135" spans="4:4" x14ac:dyDescent="0.25">
      <c r="D135" s="16">
        <f t="shared" si="1"/>
        <v>0</v>
      </c>
    </row>
    <row r="136" spans="4:4" x14ac:dyDescent="0.25">
      <c r="D136" s="16">
        <f t="shared" si="1"/>
        <v>0</v>
      </c>
    </row>
    <row r="137" spans="4:4" x14ac:dyDescent="0.25">
      <c r="D137" s="16">
        <f t="shared" si="1"/>
        <v>0</v>
      </c>
    </row>
    <row r="138" spans="4:4" x14ac:dyDescent="0.25">
      <c r="D138" s="16">
        <f t="shared" si="1"/>
        <v>0</v>
      </c>
    </row>
    <row r="139" spans="4:4" x14ac:dyDescent="0.25">
      <c r="D139" s="16">
        <f t="shared" si="1"/>
        <v>0</v>
      </c>
    </row>
    <row r="140" spans="4:4" x14ac:dyDescent="0.25">
      <c r="D140" s="16">
        <f t="shared" si="1"/>
        <v>0</v>
      </c>
    </row>
    <row r="141" spans="4:4" x14ac:dyDescent="0.25">
      <c r="D141" s="16">
        <f t="shared" si="1"/>
        <v>0</v>
      </c>
    </row>
    <row r="142" spans="4:4" x14ac:dyDescent="0.25">
      <c r="D142" s="16">
        <f t="shared" si="1"/>
        <v>0</v>
      </c>
    </row>
    <row r="143" spans="4:4" x14ac:dyDescent="0.25">
      <c r="D143" s="16">
        <f t="shared" si="1"/>
        <v>0</v>
      </c>
    </row>
    <row r="144" spans="4:4" x14ac:dyDescent="0.25">
      <c r="D144" s="16">
        <f t="shared" si="1"/>
        <v>0</v>
      </c>
    </row>
    <row r="145" spans="4:4" x14ac:dyDescent="0.25">
      <c r="D145" s="16">
        <f t="shared" si="1"/>
        <v>0</v>
      </c>
    </row>
    <row r="146" spans="4:4" x14ac:dyDescent="0.25">
      <c r="D146" s="16">
        <f t="shared" si="1"/>
        <v>0</v>
      </c>
    </row>
    <row r="147" spans="4:4" x14ac:dyDescent="0.25">
      <c r="D147" s="16">
        <f t="shared" si="1"/>
        <v>0</v>
      </c>
    </row>
    <row r="148" spans="4:4" x14ac:dyDescent="0.25">
      <c r="D148" s="16">
        <f t="shared" si="1"/>
        <v>0</v>
      </c>
    </row>
    <row r="149" spans="4:4" x14ac:dyDescent="0.25">
      <c r="D149" s="16">
        <f t="shared" ref="D149:D212" si="2">B157+D150</f>
        <v>0</v>
      </c>
    </row>
    <row r="150" spans="4:4" x14ac:dyDescent="0.25">
      <c r="D150" s="16">
        <f t="shared" si="2"/>
        <v>0</v>
      </c>
    </row>
    <row r="151" spans="4:4" x14ac:dyDescent="0.25">
      <c r="D151" s="16">
        <f t="shared" si="2"/>
        <v>0</v>
      </c>
    </row>
    <row r="152" spans="4:4" x14ac:dyDescent="0.25">
      <c r="D152" s="16">
        <f t="shared" si="2"/>
        <v>0</v>
      </c>
    </row>
    <row r="153" spans="4:4" x14ac:dyDescent="0.25">
      <c r="D153" s="16">
        <f t="shared" si="2"/>
        <v>0</v>
      </c>
    </row>
    <row r="154" spans="4:4" x14ac:dyDescent="0.25">
      <c r="D154" s="16">
        <f t="shared" si="2"/>
        <v>0</v>
      </c>
    </row>
    <row r="155" spans="4:4" x14ac:dyDescent="0.25">
      <c r="D155" s="16">
        <f t="shared" si="2"/>
        <v>0</v>
      </c>
    </row>
    <row r="156" spans="4:4" x14ac:dyDescent="0.25">
      <c r="D156" s="16">
        <f t="shared" si="2"/>
        <v>0</v>
      </c>
    </row>
    <row r="157" spans="4:4" x14ac:dyDescent="0.25">
      <c r="D157" s="16">
        <f t="shared" si="2"/>
        <v>0</v>
      </c>
    </row>
    <row r="158" spans="4:4" x14ac:dyDescent="0.25">
      <c r="D158" s="16">
        <f t="shared" si="2"/>
        <v>0</v>
      </c>
    </row>
    <row r="159" spans="4:4" x14ac:dyDescent="0.25">
      <c r="D159" s="16">
        <f t="shared" si="2"/>
        <v>0</v>
      </c>
    </row>
    <row r="160" spans="4:4" x14ac:dyDescent="0.25">
      <c r="D160" s="16">
        <f t="shared" si="2"/>
        <v>0</v>
      </c>
    </row>
    <row r="161" spans="4:4" x14ac:dyDescent="0.25">
      <c r="D161" s="16">
        <f t="shared" si="2"/>
        <v>0</v>
      </c>
    </row>
    <row r="162" spans="4:4" x14ac:dyDescent="0.25">
      <c r="D162" s="16">
        <f t="shared" si="2"/>
        <v>0</v>
      </c>
    </row>
    <row r="163" spans="4:4" x14ac:dyDescent="0.25">
      <c r="D163" s="16">
        <f t="shared" si="2"/>
        <v>0</v>
      </c>
    </row>
    <row r="164" spans="4:4" x14ac:dyDescent="0.25">
      <c r="D164" s="16">
        <f t="shared" si="2"/>
        <v>0</v>
      </c>
    </row>
    <row r="165" spans="4:4" x14ac:dyDescent="0.25">
      <c r="D165" s="16">
        <f t="shared" si="2"/>
        <v>0</v>
      </c>
    </row>
    <row r="166" spans="4:4" x14ac:dyDescent="0.25">
      <c r="D166" s="16">
        <f t="shared" si="2"/>
        <v>0</v>
      </c>
    </row>
    <row r="167" spans="4:4" x14ac:dyDescent="0.25">
      <c r="D167" s="16">
        <f t="shared" si="2"/>
        <v>0</v>
      </c>
    </row>
    <row r="168" spans="4:4" x14ac:dyDescent="0.25">
      <c r="D168" s="16">
        <f t="shared" si="2"/>
        <v>0</v>
      </c>
    </row>
    <row r="169" spans="4:4" x14ac:dyDescent="0.25">
      <c r="D169" s="16">
        <f t="shared" si="2"/>
        <v>0</v>
      </c>
    </row>
    <row r="170" spans="4:4" x14ac:dyDescent="0.25">
      <c r="D170" s="16">
        <f t="shared" si="2"/>
        <v>0</v>
      </c>
    </row>
    <row r="171" spans="4:4" x14ac:dyDescent="0.25">
      <c r="D171" s="16">
        <f t="shared" si="2"/>
        <v>0</v>
      </c>
    </row>
    <row r="172" spans="4:4" x14ac:dyDescent="0.25">
      <c r="D172" s="16">
        <f t="shared" si="2"/>
        <v>0</v>
      </c>
    </row>
    <row r="173" spans="4:4" x14ac:dyDescent="0.25">
      <c r="D173" s="16">
        <f t="shared" si="2"/>
        <v>0</v>
      </c>
    </row>
    <row r="174" spans="4:4" x14ac:dyDescent="0.25">
      <c r="D174" s="16">
        <f t="shared" si="2"/>
        <v>0</v>
      </c>
    </row>
    <row r="175" spans="4:4" x14ac:dyDescent="0.25">
      <c r="D175" s="16">
        <f t="shared" si="2"/>
        <v>0</v>
      </c>
    </row>
    <row r="176" spans="4:4" x14ac:dyDescent="0.25">
      <c r="D176" s="16">
        <f t="shared" si="2"/>
        <v>0</v>
      </c>
    </row>
    <row r="177" spans="4:4" x14ac:dyDescent="0.25">
      <c r="D177" s="16">
        <f t="shared" si="2"/>
        <v>0</v>
      </c>
    </row>
    <row r="178" spans="4:4" x14ac:dyDescent="0.25">
      <c r="D178" s="16">
        <f t="shared" si="2"/>
        <v>0</v>
      </c>
    </row>
    <row r="179" spans="4:4" x14ac:dyDescent="0.25">
      <c r="D179" s="16">
        <f t="shared" si="2"/>
        <v>0</v>
      </c>
    </row>
    <row r="180" spans="4:4" x14ac:dyDescent="0.25">
      <c r="D180" s="16">
        <f t="shared" si="2"/>
        <v>0</v>
      </c>
    </row>
    <row r="181" spans="4:4" x14ac:dyDescent="0.25">
      <c r="D181" s="16">
        <f t="shared" si="2"/>
        <v>0</v>
      </c>
    </row>
    <row r="182" spans="4:4" x14ac:dyDescent="0.25">
      <c r="D182" s="16">
        <f t="shared" si="2"/>
        <v>0</v>
      </c>
    </row>
    <row r="183" spans="4:4" x14ac:dyDescent="0.25">
      <c r="D183" s="16">
        <f t="shared" si="2"/>
        <v>0</v>
      </c>
    </row>
    <row r="184" spans="4:4" x14ac:dyDescent="0.25">
      <c r="D184" s="16">
        <f t="shared" si="2"/>
        <v>0</v>
      </c>
    </row>
    <row r="185" spans="4:4" x14ac:dyDescent="0.25">
      <c r="D185" s="16">
        <f t="shared" si="2"/>
        <v>0</v>
      </c>
    </row>
    <row r="186" spans="4:4" x14ac:dyDescent="0.25">
      <c r="D186" s="16">
        <f t="shared" si="2"/>
        <v>0</v>
      </c>
    </row>
    <row r="187" spans="4:4" x14ac:dyDescent="0.25">
      <c r="D187" s="16">
        <f t="shared" si="2"/>
        <v>0</v>
      </c>
    </row>
    <row r="188" spans="4:4" x14ac:dyDescent="0.25">
      <c r="D188" s="16">
        <f t="shared" si="2"/>
        <v>0</v>
      </c>
    </row>
    <row r="189" spans="4:4" x14ac:dyDescent="0.25">
      <c r="D189" s="16">
        <f t="shared" si="2"/>
        <v>0</v>
      </c>
    </row>
    <row r="190" spans="4:4" x14ac:dyDescent="0.25">
      <c r="D190" s="16">
        <f t="shared" si="2"/>
        <v>0</v>
      </c>
    </row>
    <row r="191" spans="4:4" x14ac:dyDescent="0.25">
      <c r="D191" s="16">
        <f t="shared" si="2"/>
        <v>0</v>
      </c>
    </row>
    <row r="192" spans="4:4" x14ac:dyDescent="0.25">
      <c r="D192" s="16">
        <f t="shared" si="2"/>
        <v>0</v>
      </c>
    </row>
    <row r="193" spans="4:4" x14ac:dyDescent="0.25">
      <c r="D193" s="16">
        <f t="shared" si="2"/>
        <v>0</v>
      </c>
    </row>
    <row r="194" spans="4:4" x14ac:dyDescent="0.25">
      <c r="D194" s="16">
        <f t="shared" si="2"/>
        <v>0</v>
      </c>
    </row>
    <row r="195" spans="4:4" x14ac:dyDescent="0.25">
      <c r="D195" s="16">
        <f t="shared" si="2"/>
        <v>0</v>
      </c>
    </row>
    <row r="196" spans="4:4" x14ac:dyDescent="0.25">
      <c r="D196" s="16">
        <f t="shared" si="2"/>
        <v>0</v>
      </c>
    </row>
    <row r="197" spans="4:4" x14ac:dyDescent="0.25">
      <c r="D197" s="16">
        <f t="shared" si="2"/>
        <v>0</v>
      </c>
    </row>
    <row r="198" spans="4:4" x14ac:dyDescent="0.25">
      <c r="D198" s="16">
        <f t="shared" si="2"/>
        <v>0</v>
      </c>
    </row>
    <row r="199" spans="4:4" x14ac:dyDescent="0.25">
      <c r="D199" s="16">
        <f t="shared" si="2"/>
        <v>0</v>
      </c>
    </row>
    <row r="200" spans="4:4" x14ac:dyDescent="0.25">
      <c r="D200" s="16">
        <f t="shared" si="2"/>
        <v>0</v>
      </c>
    </row>
    <row r="201" spans="4:4" x14ac:dyDescent="0.25">
      <c r="D201" s="16">
        <f t="shared" si="2"/>
        <v>0</v>
      </c>
    </row>
    <row r="202" spans="4:4" x14ac:dyDescent="0.25">
      <c r="D202" s="16">
        <f t="shared" si="2"/>
        <v>0</v>
      </c>
    </row>
    <row r="203" spans="4:4" x14ac:dyDescent="0.25">
      <c r="D203" s="16">
        <f t="shared" si="2"/>
        <v>0</v>
      </c>
    </row>
    <row r="204" spans="4:4" x14ac:dyDescent="0.25">
      <c r="D204" s="16">
        <f t="shared" si="2"/>
        <v>0</v>
      </c>
    </row>
    <row r="205" spans="4:4" x14ac:dyDescent="0.25">
      <c r="D205" s="16">
        <f t="shared" si="2"/>
        <v>0</v>
      </c>
    </row>
    <row r="206" spans="4:4" x14ac:dyDescent="0.25">
      <c r="D206" s="16">
        <f t="shared" si="2"/>
        <v>0</v>
      </c>
    </row>
    <row r="207" spans="4:4" x14ac:dyDescent="0.25">
      <c r="D207" s="16">
        <f t="shared" si="2"/>
        <v>0</v>
      </c>
    </row>
    <row r="208" spans="4:4" x14ac:dyDescent="0.25">
      <c r="D208" s="16">
        <f t="shared" si="2"/>
        <v>0</v>
      </c>
    </row>
    <row r="209" spans="4:4" x14ac:dyDescent="0.25">
      <c r="D209" s="16">
        <f t="shared" si="2"/>
        <v>0</v>
      </c>
    </row>
    <row r="210" spans="4:4" x14ac:dyDescent="0.25">
      <c r="D210" s="16">
        <f t="shared" si="2"/>
        <v>0</v>
      </c>
    </row>
    <row r="211" spans="4:4" x14ac:dyDescent="0.25">
      <c r="D211" s="16">
        <f t="shared" si="2"/>
        <v>0</v>
      </c>
    </row>
    <row r="212" spans="4:4" x14ac:dyDescent="0.25">
      <c r="D212" s="16">
        <f t="shared" si="2"/>
        <v>0</v>
      </c>
    </row>
    <row r="213" spans="4:4" x14ac:dyDescent="0.25">
      <c r="D213" s="16">
        <f t="shared" ref="D213:D276" si="3">B221+D214</f>
        <v>0</v>
      </c>
    </row>
    <row r="214" spans="4:4" x14ac:dyDescent="0.25">
      <c r="D214" s="16">
        <f t="shared" si="3"/>
        <v>0</v>
      </c>
    </row>
    <row r="215" spans="4:4" x14ac:dyDescent="0.25">
      <c r="D215" s="16">
        <f t="shared" si="3"/>
        <v>0</v>
      </c>
    </row>
    <row r="216" spans="4:4" x14ac:dyDescent="0.25">
      <c r="D216" s="16">
        <f t="shared" si="3"/>
        <v>0</v>
      </c>
    </row>
    <row r="217" spans="4:4" x14ac:dyDescent="0.25">
      <c r="D217" s="16">
        <f t="shared" si="3"/>
        <v>0</v>
      </c>
    </row>
    <row r="218" spans="4:4" x14ac:dyDescent="0.25">
      <c r="D218" s="16">
        <f t="shared" si="3"/>
        <v>0</v>
      </c>
    </row>
    <row r="219" spans="4:4" x14ac:dyDescent="0.25">
      <c r="D219" s="16">
        <f t="shared" si="3"/>
        <v>0</v>
      </c>
    </row>
    <row r="220" spans="4:4" x14ac:dyDescent="0.25">
      <c r="D220" s="16">
        <f t="shared" si="3"/>
        <v>0</v>
      </c>
    </row>
    <row r="221" spans="4:4" x14ac:dyDescent="0.25">
      <c r="D221" s="16">
        <f t="shared" si="3"/>
        <v>0</v>
      </c>
    </row>
    <row r="222" spans="4:4" x14ac:dyDescent="0.25">
      <c r="D222" s="16">
        <f t="shared" si="3"/>
        <v>0</v>
      </c>
    </row>
    <row r="223" spans="4:4" x14ac:dyDescent="0.25">
      <c r="D223" s="16">
        <f t="shared" si="3"/>
        <v>0</v>
      </c>
    </row>
    <row r="224" spans="4:4" x14ac:dyDescent="0.25">
      <c r="D224" s="16">
        <f t="shared" si="3"/>
        <v>0</v>
      </c>
    </row>
    <row r="225" spans="4:4" x14ac:dyDescent="0.25">
      <c r="D225" s="16">
        <f t="shared" si="3"/>
        <v>0</v>
      </c>
    </row>
    <row r="226" spans="4:4" x14ac:dyDescent="0.25">
      <c r="D226" s="16">
        <f t="shared" si="3"/>
        <v>0</v>
      </c>
    </row>
    <row r="227" spans="4:4" x14ac:dyDescent="0.25">
      <c r="D227" s="16">
        <f t="shared" si="3"/>
        <v>0</v>
      </c>
    </row>
    <row r="228" spans="4:4" x14ac:dyDescent="0.25">
      <c r="D228" s="16">
        <f t="shared" si="3"/>
        <v>0</v>
      </c>
    </row>
    <row r="229" spans="4:4" x14ac:dyDescent="0.25">
      <c r="D229" s="16">
        <f t="shared" si="3"/>
        <v>0</v>
      </c>
    </row>
    <row r="230" spans="4:4" x14ac:dyDescent="0.25">
      <c r="D230" s="16">
        <f t="shared" si="3"/>
        <v>0</v>
      </c>
    </row>
    <row r="231" spans="4:4" x14ac:dyDescent="0.25">
      <c r="D231" s="16">
        <f t="shared" si="3"/>
        <v>0</v>
      </c>
    </row>
    <row r="232" spans="4:4" x14ac:dyDescent="0.25">
      <c r="D232" s="16">
        <f t="shared" si="3"/>
        <v>0</v>
      </c>
    </row>
    <row r="233" spans="4:4" x14ac:dyDescent="0.25">
      <c r="D233" s="16">
        <f t="shared" si="3"/>
        <v>0</v>
      </c>
    </row>
    <row r="234" spans="4:4" x14ac:dyDescent="0.25">
      <c r="D234" s="16">
        <f t="shared" si="3"/>
        <v>0</v>
      </c>
    </row>
    <row r="235" spans="4:4" x14ac:dyDescent="0.25">
      <c r="D235" s="16">
        <f t="shared" si="3"/>
        <v>0</v>
      </c>
    </row>
    <row r="236" spans="4:4" x14ac:dyDescent="0.25">
      <c r="D236" s="16">
        <f t="shared" si="3"/>
        <v>0</v>
      </c>
    </row>
    <row r="237" spans="4:4" x14ac:dyDescent="0.25">
      <c r="D237" s="16">
        <f t="shared" si="3"/>
        <v>0</v>
      </c>
    </row>
    <row r="238" spans="4:4" x14ac:dyDescent="0.25">
      <c r="D238" s="16">
        <f t="shared" si="3"/>
        <v>0</v>
      </c>
    </row>
    <row r="239" spans="4:4" x14ac:dyDescent="0.25">
      <c r="D239" s="16">
        <f t="shared" si="3"/>
        <v>0</v>
      </c>
    </row>
    <row r="240" spans="4:4" x14ac:dyDescent="0.25">
      <c r="D240" s="16">
        <f t="shared" si="3"/>
        <v>0</v>
      </c>
    </row>
    <row r="241" spans="4:4" x14ac:dyDescent="0.25">
      <c r="D241" s="16">
        <f t="shared" si="3"/>
        <v>0</v>
      </c>
    </row>
    <row r="242" spans="4:4" x14ac:dyDescent="0.25">
      <c r="D242" s="16">
        <f t="shared" si="3"/>
        <v>0</v>
      </c>
    </row>
    <row r="243" spans="4:4" x14ac:dyDescent="0.25">
      <c r="D243" s="16">
        <f t="shared" si="3"/>
        <v>0</v>
      </c>
    </row>
    <row r="244" spans="4:4" x14ac:dyDescent="0.25">
      <c r="D244" s="16">
        <f t="shared" si="3"/>
        <v>0</v>
      </c>
    </row>
    <row r="245" spans="4:4" x14ac:dyDescent="0.25">
      <c r="D245" s="16">
        <f t="shared" si="3"/>
        <v>0</v>
      </c>
    </row>
    <row r="246" spans="4:4" x14ac:dyDescent="0.25">
      <c r="D246" s="16">
        <f t="shared" si="3"/>
        <v>0</v>
      </c>
    </row>
    <row r="247" spans="4:4" x14ac:dyDescent="0.25">
      <c r="D247" s="16">
        <f t="shared" si="3"/>
        <v>0</v>
      </c>
    </row>
    <row r="248" spans="4:4" x14ac:dyDescent="0.25">
      <c r="D248" s="16">
        <f t="shared" si="3"/>
        <v>0</v>
      </c>
    </row>
    <row r="249" spans="4:4" x14ac:dyDescent="0.25">
      <c r="D249" s="16">
        <f t="shared" si="3"/>
        <v>0</v>
      </c>
    </row>
    <row r="250" spans="4:4" x14ac:dyDescent="0.25">
      <c r="D250" s="16">
        <f t="shared" si="3"/>
        <v>0</v>
      </c>
    </row>
    <row r="251" spans="4:4" x14ac:dyDescent="0.25">
      <c r="D251" s="16">
        <f t="shared" si="3"/>
        <v>0</v>
      </c>
    </row>
    <row r="252" spans="4:4" x14ac:dyDescent="0.25">
      <c r="D252" s="16">
        <f t="shared" si="3"/>
        <v>0</v>
      </c>
    </row>
    <row r="253" spans="4:4" x14ac:dyDescent="0.25">
      <c r="D253" s="16">
        <f t="shared" si="3"/>
        <v>0</v>
      </c>
    </row>
    <row r="254" spans="4:4" x14ac:dyDescent="0.25">
      <c r="D254" s="16">
        <f t="shared" si="3"/>
        <v>0</v>
      </c>
    </row>
    <row r="255" spans="4:4" x14ac:dyDescent="0.25">
      <c r="D255" s="16">
        <f t="shared" si="3"/>
        <v>0</v>
      </c>
    </row>
    <row r="256" spans="4:4" x14ac:dyDescent="0.25">
      <c r="D256" s="16">
        <f t="shared" si="3"/>
        <v>0</v>
      </c>
    </row>
    <row r="257" spans="4:4" x14ac:dyDescent="0.25">
      <c r="D257" s="16">
        <f t="shared" si="3"/>
        <v>0</v>
      </c>
    </row>
    <row r="258" spans="4:4" x14ac:dyDescent="0.25">
      <c r="D258" s="16">
        <f t="shared" si="3"/>
        <v>0</v>
      </c>
    </row>
    <row r="259" spans="4:4" x14ac:dyDescent="0.25">
      <c r="D259" s="16">
        <f t="shared" si="3"/>
        <v>0</v>
      </c>
    </row>
    <row r="260" spans="4:4" x14ac:dyDescent="0.25">
      <c r="D260" s="16">
        <f t="shared" si="3"/>
        <v>0</v>
      </c>
    </row>
    <row r="261" spans="4:4" x14ac:dyDescent="0.25">
      <c r="D261" s="16">
        <f t="shared" si="3"/>
        <v>0</v>
      </c>
    </row>
    <row r="262" spans="4:4" x14ac:dyDescent="0.25">
      <c r="D262" s="16">
        <f t="shared" si="3"/>
        <v>0</v>
      </c>
    </row>
    <row r="263" spans="4:4" x14ac:dyDescent="0.25">
      <c r="D263" s="16">
        <f t="shared" si="3"/>
        <v>0</v>
      </c>
    </row>
    <row r="264" spans="4:4" x14ac:dyDescent="0.25">
      <c r="D264" s="16">
        <f t="shared" si="3"/>
        <v>0</v>
      </c>
    </row>
    <row r="265" spans="4:4" x14ac:dyDescent="0.25">
      <c r="D265" s="16">
        <f t="shared" si="3"/>
        <v>0</v>
      </c>
    </row>
    <row r="266" spans="4:4" x14ac:dyDescent="0.25">
      <c r="D266" s="16">
        <f t="shared" si="3"/>
        <v>0</v>
      </c>
    </row>
    <row r="267" spans="4:4" x14ac:dyDescent="0.25">
      <c r="D267" s="16">
        <f t="shared" si="3"/>
        <v>0</v>
      </c>
    </row>
    <row r="268" spans="4:4" x14ac:dyDescent="0.25">
      <c r="D268" s="16">
        <f t="shared" si="3"/>
        <v>0</v>
      </c>
    </row>
    <row r="269" spans="4:4" x14ac:dyDescent="0.25">
      <c r="D269" s="16">
        <f t="shared" si="3"/>
        <v>0</v>
      </c>
    </row>
    <row r="270" spans="4:4" x14ac:dyDescent="0.25">
      <c r="D270" s="16">
        <f t="shared" si="3"/>
        <v>0</v>
      </c>
    </row>
    <row r="271" spans="4:4" x14ac:dyDescent="0.25">
      <c r="D271" s="16">
        <f t="shared" si="3"/>
        <v>0</v>
      </c>
    </row>
    <row r="272" spans="4:4" x14ac:dyDescent="0.25">
      <c r="D272" s="16">
        <f t="shared" si="3"/>
        <v>0</v>
      </c>
    </row>
    <row r="273" spans="4:4" x14ac:dyDescent="0.25">
      <c r="D273" s="16">
        <f t="shared" si="3"/>
        <v>0</v>
      </c>
    </row>
    <row r="274" spans="4:4" x14ac:dyDescent="0.25">
      <c r="D274" s="16">
        <f t="shared" si="3"/>
        <v>0</v>
      </c>
    </row>
    <row r="275" spans="4:4" x14ac:dyDescent="0.25">
      <c r="D275" s="16">
        <f t="shared" si="3"/>
        <v>0</v>
      </c>
    </row>
    <row r="276" spans="4:4" x14ac:dyDescent="0.25">
      <c r="D276" s="16">
        <f t="shared" si="3"/>
        <v>0</v>
      </c>
    </row>
    <row r="277" spans="4:4" x14ac:dyDescent="0.25">
      <c r="D277" s="16">
        <f t="shared" ref="D277:D340" si="4">B285+D278</f>
        <v>0</v>
      </c>
    </row>
    <row r="278" spans="4:4" x14ac:dyDescent="0.25">
      <c r="D278" s="16">
        <f t="shared" si="4"/>
        <v>0</v>
      </c>
    </row>
    <row r="279" spans="4:4" x14ac:dyDescent="0.25">
      <c r="D279" s="16">
        <f t="shared" si="4"/>
        <v>0</v>
      </c>
    </row>
    <row r="280" spans="4:4" x14ac:dyDescent="0.25">
      <c r="D280" s="16">
        <f t="shared" si="4"/>
        <v>0</v>
      </c>
    </row>
    <row r="281" spans="4:4" x14ac:dyDescent="0.25">
      <c r="D281" s="16">
        <f t="shared" si="4"/>
        <v>0</v>
      </c>
    </row>
    <row r="282" spans="4:4" x14ac:dyDescent="0.25">
      <c r="D282" s="16">
        <f t="shared" si="4"/>
        <v>0</v>
      </c>
    </row>
    <row r="283" spans="4:4" x14ac:dyDescent="0.25">
      <c r="D283" s="16">
        <f t="shared" si="4"/>
        <v>0</v>
      </c>
    </row>
    <row r="284" spans="4:4" x14ac:dyDescent="0.25">
      <c r="D284" s="16">
        <f t="shared" si="4"/>
        <v>0</v>
      </c>
    </row>
    <row r="285" spans="4:4" x14ac:dyDescent="0.25">
      <c r="D285" s="16">
        <f t="shared" si="4"/>
        <v>0</v>
      </c>
    </row>
    <row r="286" spans="4:4" x14ac:dyDescent="0.25">
      <c r="D286" s="16">
        <f t="shared" si="4"/>
        <v>0</v>
      </c>
    </row>
    <row r="287" spans="4:4" x14ac:dyDescent="0.25">
      <c r="D287" s="16">
        <f t="shared" si="4"/>
        <v>0</v>
      </c>
    </row>
    <row r="288" spans="4:4" x14ac:dyDescent="0.25">
      <c r="D288" s="16">
        <f t="shared" si="4"/>
        <v>0</v>
      </c>
    </row>
    <row r="289" spans="4:4" x14ac:dyDescent="0.25">
      <c r="D289" s="16">
        <f t="shared" si="4"/>
        <v>0</v>
      </c>
    </row>
    <row r="290" spans="4:4" x14ac:dyDescent="0.25">
      <c r="D290" s="16">
        <f t="shared" si="4"/>
        <v>0</v>
      </c>
    </row>
    <row r="291" spans="4:4" x14ac:dyDescent="0.25">
      <c r="D291" s="16">
        <f t="shared" si="4"/>
        <v>0</v>
      </c>
    </row>
    <row r="292" spans="4:4" x14ac:dyDescent="0.25">
      <c r="D292" s="16">
        <f t="shared" si="4"/>
        <v>0</v>
      </c>
    </row>
    <row r="293" spans="4:4" x14ac:dyDescent="0.25">
      <c r="D293" s="16">
        <f t="shared" si="4"/>
        <v>0</v>
      </c>
    </row>
    <row r="294" spans="4:4" x14ac:dyDescent="0.25">
      <c r="D294" s="16">
        <f t="shared" si="4"/>
        <v>0</v>
      </c>
    </row>
    <row r="295" spans="4:4" x14ac:dyDescent="0.25">
      <c r="D295" s="16">
        <f t="shared" si="4"/>
        <v>0</v>
      </c>
    </row>
    <row r="296" spans="4:4" x14ac:dyDescent="0.25">
      <c r="D296" s="16">
        <f t="shared" si="4"/>
        <v>0</v>
      </c>
    </row>
    <row r="297" spans="4:4" x14ac:dyDescent="0.25">
      <c r="D297" s="16">
        <f t="shared" si="4"/>
        <v>0</v>
      </c>
    </row>
    <row r="298" spans="4:4" x14ac:dyDescent="0.25">
      <c r="D298" s="16">
        <f t="shared" si="4"/>
        <v>0</v>
      </c>
    </row>
    <row r="299" spans="4:4" x14ac:dyDescent="0.25">
      <c r="D299" s="16">
        <f t="shared" si="4"/>
        <v>0</v>
      </c>
    </row>
    <row r="300" spans="4:4" x14ac:dyDescent="0.25">
      <c r="D300" s="16">
        <f t="shared" si="4"/>
        <v>0</v>
      </c>
    </row>
    <row r="301" spans="4:4" x14ac:dyDescent="0.25">
      <c r="D301" s="16">
        <f t="shared" si="4"/>
        <v>0</v>
      </c>
    </row>
    <row r="302" spans="4:4" x14ac:dyDescent="0.25">
      <c r="D302" s="16">
        <f t="shared" si="4"/>
        <v>0</v>
      </c>
    </row>
    <row r="303" spans="4:4" x14ac:dyDescent="0.25">
      <c r="D303" s="16">
        <f t="shared" si="4"/>
        <v>0</v>
      </c>
    </row>
    <row r="304" spans="4:4" x14ac:dyDescent="0.25">
      <c r="D304" s="16">
        <f t="shared" si="4"/>
        <v>0</v>
      </c>
    </row>
    <row r="305" spans="4:4" x14ac:dyDescent="0.25">
      <c r="D305" s="16">
        <f t="shared" si="4"/>
        <v>0</v>
      </c>
    </row>
    <row r="306" spans="4:4" x14ac:dyDescent="0.25">
      <c r="D306" s="16">
        <f t="shared" si="4"/>
        <v>0</v>
      </c>
    </row>
    <row r="307" spans="4:4" x14ac:dyDescent="0.25">
      <c r="D307" s="16">
        <f t="shared" si="4"/>
        <v>0</v>
      </c>
    </row>
    <row r="308" spans="4:4" x14ac:dyDescent="0.25">
      <c r="D308" s="16">
        <f t="shared" si="4"/>
        <v>0</v>
      </c>
    </row>
    <row r="309" spans="4:4" x14ac:dyDescent="0.25">
      <c r="D309" s="16">
        <f t="shared" si="4"/>
        <v>0</v>
      </c>
    </row>
    <row r="310" spans="4:4" x14ac:dyDescent="0.25">
      <c r="D310" s="16">
        <f t="shared" si="4"/>
        <v>0</v>
      </c>
    </row>
    <row r="311" spans="4:4" x14ac:dyDescent="0.25">
      <c r="D311" s="16">
        <f t="shared" si="4"/>
        <v>0</v>
      </c>
    </row>
    <row r="312" spans="4:4" x14ac:dyDescent="0.25">
      <c r="D312" s="16">
        <f t="shared" si="4"/>
        <v>0</v>
      </c>
    </row>
    <row r="313" spans="4:4" x14ac:dyDescent="0.25">
      <c r="D313" s="16">
        <f t="shared" si="4"/>
        <v>0</v>
      </c>
    </row>
    <row r="314" spans="4:4" x14ac:dyDescent="0.25">
      <c r="D314" s="16">
        <f t="shared" si="4"/>
        <v>0</v>
      </c>
    </row>
    <row r="315" spans="4:4" x14ac:dyDescent="0.25">
      <c r="D315" s="16">
        <f t="shared" si="4"/>
        <v>0</v>
      </c>
    </row>
    <row r="316" spans="4:4" x14ac:dyDescent="0.25">
      <c r="D316" s="16">
        <f t="shared" si="4"/>
        <v>0</v>
      </c>
    </row>
    <row r="317" spans="4:4" x14ac:dyDescent="0.25">
      <c r="D317" s="16">
        <f t="shared" si="4"/>
        <v>0</v>
      </c>
    </row>
    <row r="318" spans="4:4" x14ac:dyDescent="0.25">
      <c r="D318" s="16">
        <f t="shared" si="4"/>
        <v>0</v>
      </c>
    </row>
    <row r="319" spans="4:4" x14ac:dyDescent="0.25">
      <c r="D319" s="16">
        <f t="shared" si="4"/>
        <v>0</v>
      </c>
    </row>
    <row r="320" spans="4:4" x14ac:dyDescent="0.25">
      <c r="D320" s="16">
        <f t="shared" si="4"/>
        <v>0</v>
      </c>
    </row>
    <row r="321" spans="4:4" x14ac:dyDescent="0.25">
      <c r="D321" s="16">
        <f t="shared" si="4"/>
        <v>0</v>
      </c>
    </row>
    <row r="322" spans="4:4" x14ac:dyDescent="0.25">
      <c r="D322" s="16">
        <f t="shared" si="4"/>
        <v>0</v>
      </c>
    </row>
    <row r="323" spans="4:4" x14ac:dyDescent="0.25">
      <c r="D323" s="16">
        <f t="shared" si="4"/>
        <v>0</v>
      </c>
    </row>
    <row r="324" spans="4:4" x14ac:dyDescent="0.25">
      <c r="D324" s="16">
        <f t="shared" si="4"/>
        <v>0</v>
      </c>
    </row>
    <row r="325" spans="4:4" x14ac:dyDescent="0.25">
      <c r="D325" s="16">
        <f t="shared" si="4"/>
        <v>0</v>
      </c>
    </row>
    <row r="326" spans="4:4" x14ac:dyDescent="0.25">
      <c r="D326" s="16">
        <f t="shared" si="4"/>
        <v>0</v>
      </c>
    </row>
    <row r="327" spans="4:4" x14ac:dyDescent="0.25">
      <c r="D327" s="16">
        <f t="shared" si="4"/>
        <v>0</v>
      </c>
    </row>
    <row r="328" spans="4:4" x14ac:dyDescent="0.25">
      <c r="D328" s="16">
        <f t="shared" si="4"/>
        <v>0</v>
      </c>
    </row>
    <row r="329" spans="4:4" x14ac:dyDescent="0.25">
      <c r="D329" s="16">
        <f t="shared" si="4"/>
        <v>0</v>
      </c>
    </row>
    <row r="330" spans="4:4" x14ac:dyDescent="0.25">
      <c r="D330" s="16">
        <f t="shared" si="4"/>
        <v>0</v>
      </c>
    </row>
    <row r="331" spans="4:4" x14ac:dyDescent="0.25">
      <c r="D331" s="16">
        <f t="shared" si="4"/>
        <v>0</v>
      </c>
    </row>
    <row r="332" spans="4:4" x14ac:dyDescent="0.25">
      <c r="D332" s="16">
        <f t="shared" si="4"/>
        <v>0</v>
      </c>
    </row>
    <row r="333" spans="4:4" x14ac:dyDescent="0.25">
      <c r="D333" s="16">
        <f t="shared" si="4"/>
        <v>0</v>
      </c>
    </row>
    <row r="334" spans="4:4" x14ac:dyDescent="0.25">
      <c r="D334" s="16">
        <f t="shared" si="4"/>
        <v>0</v>
      </c>
    </row>
    <row r="335" spans="4:4" x14ac:dyDescent="0.25">
      <c r="D335" s="16">
        <f t="shared" si="4"/>
        <v>0</v>
      </c>
    </row>
    <row r="336" spans="4:4" x14ac:dyDescent="0.25">
      <c r="D336" s="16">
        <f t="shared" si="4"/>
        <v>0</v>
      </c>
    </row>
    <row r="337" spans="4:4" x14ac:dyDescent="0.25">
      <c r="D337" s="16">
        <f t="shared" si="4"/>
        <v>0</v>
      </c>
    </row>
    <row r="338" spans="4:4" x14ac:dyDescent="0.25">
      <c r="D338" s="16">
        <f t="shared" si="4"/>
        <v>0</v>
      </c>
    </row>
    <row r="339" spans="4:4" x14ac:dyDescent="0.25">
      <c r="D339" s="16">
        <f t="shared" si="4"/>
        <v>0</v>
      </c>
    </row>
    <row r="340" spans="4:4" x14ac:dyDescent="0.25">
      <c r="D340" s="16">
        <f t="shared" si="4"/>
        <v>0</v>
      </c>
    </row>
    <row r="341" spans="4:4" x14ac:dyDescent="0.25">
      <c r="D341" s="16">
        <f t="shared" ref="D341:D404" si="5">B349+D342</f>
        <v>0</v>
      </c>
    </row>
    <row r="342" spans="4:4" x14ac:dyDescent="0.25">
      <c r="D342" s="16">
        <f t="shared" si="5"/>
        <v>0</v>
      </c>
    </row>
    <row r="343" spans="4:4" x14ac:dyDescent="0.25">
      <c r="D343" s="16">
        <f t="shared" si="5"/>
        <v>0</v>
      </c>
    </row>
    <row r="344" spans="4:4" x14ac:dyDescent="0.25">
      <c r="D344" s="16">
        <f t="shared" si="5"/>
        <v>0</v>
      </c>
    </row>
    <row r="345" spans="4:4" x14ac:dyDescent="0.25">
      <c r="D345" s="16">
        <f t="shared" si="5"/>
        <v>0</v>
      </c>
    </row>
    <row r="346" spans="4:4" x14ac:dyDescent="0.25">
      <c r="D346" s="16">
        <f t="shared" si="5"/>
        <v>0</v>
      </c>
    </row>
    <row r="347" spans="4:4" x14ac:dyDescent="0.25">
      <c r="D347" s="16">
        <f t="shared" si="5"/>
        <v>0</v>
      </c>
    </row>
    <row r="348" spans="4:4" x14ac:dyDescent="0.25">
      <c r="D348" s="16">
        <f t="shared" si="5"/>
        <v>0</v>
      </c>
    </row>
    <row r="349" spans="4:4" x14ac:dyDescent="0.25">
      <c r="D349" s="16">
        <f t="shared" si="5"/>
        <v>0</v>
      </c>
    </row>
    <row r="350" spans="4:4" x14ac:dyDescent="0.25">
      <c r="D350" s="16">
        <f t="shared" si="5"/>
        <v>0</v>
      </c>
    </row>
    <row r="351" spans="4:4" x14ac:dyDescent="0.25">
      <c r="D351" s="16">
        <f t="shared" si="5"/>
        <v>0</v>
      </c>
    </row>
    <row r="352" spans="4:4" x14ac:dyDescent="0.25">
      <c r="D352" s="16">
        <f t="shared" si="5"/>
        <v>0</v>
      </c>
    </row>
    <row r="353" spans="4:4" x14ac:dyDescent="0.25">
      <c r="D353" s="16">
        <f t="shared" si="5"/>
        <v>0</v>
      </c>
    </row>
    <row r="354" spans="4:4" x14ac:dyDescent="0.25">
      <c r="D354" s="16">
        <f t="shared" si="5"/>
        <v>0</v>
      </c>
    </row>
    <row r="355" spans="4:4" x14ac:dyDescent="0.25">
      <c r="D355" s="16">
        <f t="shared" si="5"/>
        <v>0</v>
      </c>
    </row>
    <row r="356" spans="4:4" x14ac:dyDescent="0.25">
      <c r="D356" s="16">
        <f t="shared" si="5"/>
        <v>0</v>
      </c>
    </row>
    <row r="357" spans="4:4" x14ac:dyDescent="0.25">
      <c r="D357" s="16">
        <f t="shared" si="5"/>
        <v>0</v>
      </c>
    </row>
    <row r="358" spans="4:4" x14ac:dyDescent="0.25">
      <c r="D358" s="16">
        <f t="shared" si="5"/>
        <v>0</v>
      </c>
    </row>
    <row r="359" spans="4:4" x14ac:dyDescent="0.25">
      <c r="D359" s="16">
        <f t="shared" si="5"/>
        <v>0</v>
      </c>
    </row>
    <row r="360" spans="4:4" x14ac:dyDescent="0.25">
      <c r="D360" s="16">
        <f t="shared" si="5"/>
        <v>0</v>
      </c>
    </row>
    <row r="361" spans="4:4" x14ac:dyDescent="0.25">
      <c r="D361" s="16">
        <f t="shared" si="5"/>
        <v>0</v>
      </c>
    </row>
    <row r="362" spans="4:4" x14ac:dyDescent="0.25">
      <c r="D362" s="16">
        <f t="shared" si="5"/>
        <v>0</v>
      </c>
    </row>
    <row r="363" spans="4:4" x14ac:dyDescent="0.25">
      <c r="D363" s="16">
        <f t="shared" si="5"/>
        <v>0</v>
      </c>
    </row>
    <row r="364" spans="4:4" x14ac:dyDescent="0.25">
      <c r="D364" s="16">
        <f t="shared" si="5"/>
        <v>0</v>
      </c>
    </row>
    <row r="365" spans="4:4" x14ac:dyDescent="0.25">
      <c r="D365" s="16">
        <f t="shared" si="5"/>
        <v>0</v>
      </c>
    </row>
    <row r="366" spans="4:4" x14ac:dyDescent="0.25">
      <c r="D366" s="16">
        <f t="shared" si="5"/>
        <v>0</v>
      </c>
    </row>
    <row r="367" spans="4:4" x14ac:dyDescent="0.25">
      <c r="D367" s="16">
        <f t="shared" si="5"/>
        <v>0</v>
      </c>
    </row>
    <row r="368" spans="4:4" x14ac:dyDescent="0.25">
      <c r="D368" s="16">
        <f t="shared" si="5"/>
        <v>0</v>
      </c>
    </row>
    <row r="369" spans="4:4" x14ac:dyDescent="0.25">
      <c r="D369" s="16">
        <f t="shared" si="5"/>
        <v>0</v>
      </c>
    </row>
    <row r="370" spans="4:4" x14ac:dyDescent="0.25">
      <c r="D370" s="16">
        <f t="shared" si="5"/>
        <v>0</v>
      </c>
    </row>
    <row r="371" spans="4:4" x14ac:dyDescent="0.25">
      <c r="D371" s="16">
        <f t="shared" si="5"/>
        <v>0</v>
      </c>
    </row>
    <row r="372" spans="4:4" x14ac:dyDescent="0.25">
      <c r="D372" s="16">
        <f t="shared" si="5"/>
        <v>0</v>
      </c>
    </row>
    <row r="373" spans="4:4" x14ac:dyDescent="0.25">
      <c r="D373" s="16">
        <f t="shared" si="5"/>
        <v>0</v>
      </c>
    </row>
    <row r="374" spans="4:4" x14ac:dyDescent="0.25">
      <c r="D374" s="16">
        <f t="shared" si="5"/>
        <v>0</v>
      </c>
    </row>
    <row r="375" spans="4:4" x14ac:dyDescent="0.25">
      <c r="D375" s="16">
        <f t="shared" si="5"/>
        <v>0</v>
      </c>
    </row>
    <row r="376" spans="4:4" x14ac:dyDescent="0.25">
      <c r="D376" s="16">
        <f t="shared" si="5"/>
        <v>0</v>
      </c>
    </row>
    <row r="377" spans="4:4" x14ac:dyDescent="0.25">
      <c r="D377" s="16">
        <f t="shared" si="5"/>
        <v>0</v>
      </c>
    </row>
    <row r="378" spans="4:4" x14ac:dyDescent="0.25">
      <c r="D378" s="16">
        <f t="shared" si="5"/>
        <v>0</v>
      </c>
    </row>
    <row r="379" spans="4:4" x14ac:dyDescent="0.25">
      <c r="D379" s="16">
        <f t="shared" si="5"/>
        <v>0</v>
      </c>
    </row>
    <row r="380" spans="4:4" x14ac:dyDescent="0.25">
      <c r="D380" s="16">
        <f t="shared" si="5"/>
        <v>0</v>
      </c>
    </row>
    <row r="381" spans="4:4" x14ac:dyDescent="0.25">
      <c r="D381" s="16">
        <f t="shared" si="5"/>
        <v>0</v>
      </c>
    </row>
    <row r="382" spans="4:4" x14ac:dyDescent="0.25">
      <c r="D382" s="16">
        <f t="shared" si="5"/>
        <v>0</v>
      </c>
    </row>
    <row r="383" spans="4:4" x14ac:dyDescent="0.25">
      <c r="D383" s="16">
        <f t="shared" si="5"/>
        <v>0</v>
      </c>
    </row>
    <row r="384" spans="4:4" x14ac:dyDescent="0.25">
      <c r="D384" s="16">
        <f t="shared" si="5"/>
        <v>0</v>
      </c>
    </row>
    <row r="385" spans="4:4" x14ac:dyDescent="0.25">
      <c r="D385" s="16">
        <f t="shared" si="5"/>
        <v>0</v>
      </c>
    </row>
    <row r="386" spans="4:4" x14ac:dyDescent="0.25">
      <c r="D386" s="16">
        <f t="shared" si="5"/>
        <v>0</v>
      </c>
    </row>
    <row r="387" spans="4:4" x14ac:dyDescent="0.25">
      <c r="D387" s="16">
        <f t="shared" si="5"/>
        <v>0</v>
      </c>
    </row>
    <row r="388" spans="4:4" x14ac:dyDescent="0.25">
      <c r="D388" s="16">
        <f t="shared" si="5"/>
        <v>0</v>
      </c>
    </row>
    <row r="389" spans="4:4" x14ac:dyDescent="0.25">
      <c r="D389" s="16">
        <f t="shared" si="5"/>
        <v>0</v>
      </c>
    </row>
    <row r="390" spans="4:4" x14ac:dyDescent="0.25">
      <c r="D390" s="16">
        <f t="shared" si="5"/>
        <v>0</v>
      </c>
    </row>
    <row r="391" spans="4:4" x14ac:dyDescent="0.25">
      <c r="D391" s="16">
        <f t="shared" si="5"/>
        <v>0</v>
      </c>
    </row>
    <row r="392" spans="4:4" x14ac:dyDescent="0.25">
      <c r="D392" s="16">
        <f t="shared" si="5"/>
        <v>0</v>
      </c>
    </row>
    <row r="393" spans="4:4" x14ac:dyDescent="0.25">
      <c r="D393" s="16">
        <f t="shared" si="5"/>
        <v>0</v>
      </c>
    </row>
    <row r="394" spans="4:4" x14ac:dyDescent="0.25">
      <c r="D394" s="16">
        <f t="shared" si="5"/>
        <v>0</v>
      </c>
    </row>
    <row r="395" spans="4:4" x14ac:dyDescent="0.25">
      <c r="D395" s="16">
        <f t="shared" si="5"/>
        <v>0</v>
      </c>
    </row>
    <row r="396" spans="4:4" x14ac:dyDescent="0.25">
      <c r="D396" s="16">
        <f t="shared" si="5"/>
        <v>0</v>
      </c>
    </row>
    <row r="397" spans="4:4" x14ac:dyDescent="0.25">
      <c r="D397" s="16">
        <f t="shared" si="5"/>
        <v>0</v>
      </c>
    </row>
    <row r="398" spans="4:4" x14ac:dyDescent="0.25">
      <c r="D398" s="16">
        <f t="shared" si="5"/>
        <v>0</v>
      </c>
    </row>
    <row r="399" spans="4:4" x14ac:dyDescent="0.25">
      <c r="D399" s="16">
        <f t="shared" si="5"/>
        <v>0</v>
      </c>
    </row>
    <row r="400" spans="4:4" x14ac:dyDescent="0.25">
      <c r="D400" s="16">
        <f t="shared" si="5"/>
        <v>0</v>
      </c>
    </row>
    <row r="401" spans="4:4" x14ac:dyDescent="0.25">
      <c r="D401" s="16">
        <f t="shared" si="5"/>
        <v>0</v>
      </c>
    </row>
    <row r="402" spans="4:4" x14ac:dyDescent="0.25">
      <c r="D402" s="16">
        <f t="shared" si="5"/>
        <v>0</v>
      </c>
    </row>
    <row r="403" spans="4:4" x14ac:dyDescent="0.25">
      <c r="D403" s="16">
        <f t="shared" si="5"/>
        <v>0</v>
      </c>
    </row>
    <row r="404" spans="4:4" x14ac:dyDescent="0.25">
      <c r="D404" s="16">
        <f t="shared" si="5"/>
        <v>0</v>
      </c>
    </row>
    <row r="405" spans="4:4" x14ac:dyDescent="0.25">
      <c r="D405" s="16">
        <f t="shared" ref="D405:D468" si="6">B413+D406</f>
        <v>0</v>
      </c>
    </row>
    <row r="406" spans="4:4" x14ac:dyDescent="0.25">
      <c r="D406" s="16">
        <f t="shared" si="6"/>
        <v>0</v>
      </c>
    </row>
    <row r="407" spans="4:4" x14ac:dyDescent="0.25">
      <c r="D407" s="16">
        <f t="shared" si="6"/>
        <v>0</v>
      </c>
    </row>
    <row r="408" spans="4:4" x14ac:dyDescent="0.25">
      <c r="D408" s="16">
        <f t="shared" si="6"/>
        <v>0</v>
      </c>
    </row>
    <row r="409" spans="4:4" x14ac:dyDescent="0.25">
      <c r="D409" s="16">
        <f t="shared" si="6"/>
        <v>0</v>
      </c>
    </row>
    <row r="410" spans="4:4" x14ac:dyDescent="0.25">
      <c r="D410" s="16">
        <f t="shared" si="6"/>
        <v>0</v>
      </c>
    </row>
    <row r="411" spans="4:4" x14ac:dyDescent="0.25">
      <c r="D411" s="16">
        <f t="shared" si="6"/>
        <v>0</v>
      </c>
    </row>
    <row r="412" spans="4:4" x14ac:dyDescent="0.25">
      <c r="D412" s="16">
        <f t="shared" si="6"/>
        <v>0</v>
      </c>
    </row>
    <row r="413" spans="4:4" x14ac:dyDescent="0.25">
      <c r="D413" s="16">
        <f t="shared" si="6"/>
        <v>0</v>
      </c>
    </row>
    <row r="414" spans="4:4" x14ac:dyDescent="0.25">
      <c r="D414" s="16">
        <f t="shared" si="6"/>
        <v>0</v>
      </c>
    </row>
    <row r="415" spans="4:4" x14ac:dyDescent="0.25">
      <c r="D415" s="16">
        <f t="shared" si="6"/>
        <v>0</v>
      </c>
    </row>
    <row r="416" spans="4:4" x14ac:dyDescent="0.25">
      <c r="D416" s="16">
        <f t="shared" si="6"/>
        <v>0</v>
      </c>
    </row>
    <row r="417" spans="4:4" x14ac:dyDescent="0.25">
      <c r="D417" s="16">
        <f t="shared" si="6"/>
        <v>0</v>
      </c>
    </row>
    <row r="418" spans="4:4" x14ac:dyDescent="0.25">
      <c r="D418" s="16">
        <f t="shared" si="6"/>
        <v>0</v>
      </c>
    </row>
    <row r="419" spans="4:4" x14ac:dyDescent="0.25">
      <c r="D419" s="16">
        <f t="shared" si="6"/>
        <v>0</v>
      </c>
    </row>
    <row r="420" spans="4:4" x14ac:dyDescent="0.25">
      <c r="D420" s="16">
        <f t="shared" si="6"/>
        <v>0</v>
      </c>
    </row>
    <row r="421" spans="4:4" x14ac:dyDescent="0.25">
      <c r="D421" s="16">
        <f t="shared" si="6"/>
        <v>0</v>
      </c>
    </row>
    <row r="422" spans="4:4" x14ac:dyDescent="0.25">
      <c r="D422" s="16">
        <f t="shared" si="6"/>
        <v>0</v>
      </c>
    </row>
    <row r="423" spans="4:4" x14ac:dyDescent="0.25">
      <c r="D423" s="16">
        <f t="shared" si="6"/>
        <v>0</v>
      </c>
    </row>
    <row r="424" spans="4:4" x14ac:dyDescent="0.25">
      <c r="D424" s="16">
        <f t="shared" si="6"/>
        <v>0</v>
      </c>
    </row>
    <row r="425" spans="4:4" x14ac:dyDescent="0.25">
      <c r="D425" s="16">
        <f t="shared" si="6"/>
        <v>0</v>
      </c>
    </row>
    <row r="426" spans="4:4" x14ac:dyDescent="0.25">
      <c r="D426" s="16">
        <f t="shared" si="6"/>
        <v>0</v>
      </c>
    </row>
    <row r="427" spans="4:4" x14ac:dyDescent="0.25">
      <c r="D427" s="16">
        <f t="shared" si="6"/>
        <v>0</v>
      </c>
    </row>
    <row r="428" spans="4:4" x14ac:dyDescent="0.25">
      <c r="D428" s="16">
        <f t="shared" si="6"/>
        <v>0</v>
      </c>
    </row>
    <row r="429" spans="4:4" x14ac:dyDescent="0.25">
      <c r="D429" s="16">
        <f t="shared" si="6"/>
        <v>0</v>
      </c>
    </row>
    <row r="430" spans="4:4" x14ac:dyDescent="0.25">
      <c r="D430" s="16">
        <f t="shared" si="6"/>
        <v>0</v>
      </c>
    </row>
    <row r="431" spans="4:4" x14ac:dyDescent="0.25">
      <c r="D431" s="16">
        <f t="shared" si="6"/>
        <v>0</v>
      </c>
    </row>
    <row r="432" spans="4:4" x14ac:dyDescent="0.25">
      <c r="D432" s="16">
        <f t="shared" si="6"/>
        <v>0</v>
      </c>
    </row>
    <row r="433" spans="4:4" x14ac:dyDescent="0.25">
      <c r="D433" s="16">
        <f t="shared" si="6"/>
        <v>0</v>
      </c>
    </row>
    <row r="434" spans="4:4" x14ac:dyDescent="0.25">
      <c r="D434" s="16">
        <f t="shared" si="6"/>
        <v>0</v>
      </c>
    </row>
    <row r="435" spans="4:4" x14ac:dyDescent="0.25">
      <c r="D435" s="16">
        <f t="shared" si="6"/>
        <v>0</v>
      </c>
    </row>
    <row r="436" spans="4:4" x14ac:dyDescent="0.25">
      <c r="D436" s="16">
        <f t="shared" si="6"/>
        <v>0</v>
      </c>
    </row>
    <row r="437" spans="4:4" x14ac:dyDescent="0.25">
      <c r="D437" s="16">
        <f t="shared" si="6"/>
        <v>0</v>
      </c>
    </row>
    <row r="438" spans="4:4" x14ac:dyDescent="0.25">
      <c r="D438" s="16">
        <f t="shared" si="6"/>
        <v>0</v>
      </c>
    </row>
    <row r="439" spans="4:4" x14ac:dyDescent="0.25">
      <c r="D439" s="16">
        <f t="shared" si="6"/>
        <v>0</v>
      </c>
    </row>
    <row r="440" spans="4:4" x14ac:dyDescent="0.25">
      <c r="D440" s="16">
        <f t="shared" si="6"/>
        <v>0</v>
      </c>
    </row>
    <row r="441" spans="4:4" x14ac:dyDescent="0.25">
      <c r="D441" s="16">
        <f t="shared" si="6"/>
        <v>0</v>
      </c>
    </row>
    <row r="442" spans="4:4" x14ac:dyDescent="0.25">
      <c r="D442" s="16">
        <f t="shared" si="6"/>
        <v>0</v>
      </c>
    </row>
    <row r="443" spans="4:4" x14ac:dyDescent="0.25">
      <c r="D443" s="16">
        <f t="shared" si="6"/>
        <v>0</v>
      </c>
    </row>
    <row r="444" spans="4:4" x14ac:dyDescent="0.25">
      <c r="D444" s="16">
        <f t="shared" si="6"/>
        <v>0</v>
      </c>
    </row>
    <row r="445" spans="4:4" x14ac:dyDescent="0.25">
      <c r="D445" s="16">
        <f t="shared" si="6"/>
        <v>0</v>
      </c>
    </row>
    <row r="446" spans="4:4" x14ac:dyDescent="0.25">
      <c r="D446" s="16">
        <f t="shared" si="6"/>
        <v>0</v>
      </c>
    </row>
    <row r="447" spans="4:4" x14ac:dyDescent="0.25">
      <c r="D447" s="16">
        <f t="shared" si="6"/>
        <v>0</v>
      </c>
    </row>
    <row r="448" spans="4:4" x14ac:dyDescent="0.25">
      <c r="D448" s="16">
        <f t="shared" si="6"/>
        <v>0</v>
      </c>
    </row>
    <row r="449" spans="4:4" x14ac:dyDescent="0.25">
      <c r="D449" s="16">
        <f t="shared" si="6"/>
        <v>0</v>
      </c>
    </row>
    <row r="450" spans="4:4" x14ac:dyDescent="0.25">
      <c r="D450" s="16">
        <f t="shared" si="6"/>
        <v>0</v>
      </c>
    </row>
    <row r="451" spans="4:4" x14ac:dyDescent="0.25">
      <c r="D451" s="16">
        <f t="shared" si="6"/>
        <v>0</v>
      </c>
    </row>
    <row r="452" spans="4:4" x14ac:dyDescent="0.25">
      <c r="D452" s="16">
        <f t="shared" si="6"/>
        <v>0</v>
      </c>
    </row>
    <row r="453" spans="4:4" x14ac:dyDescent="0.25">
      <c r="D453" s="16">
        <f t="shared" si="6"/>
        <v>0</v>
      </c>
    </row>
    <row r="454" spans="4:4" x14ac:dyDescent="0.25">
      <c r="D454" s="16">
        <f t="shared" si="6"/>
        <v>0</v>
      </c>
    </row>
    <row r="455" spans="4:4" x14ac:dyDescent="0.25">
      <c r="D455" s="16">
        <f t="shared" si="6"/>
        <v>0</v>
      </c>
    </row>
    <row r="456" spans="4:4" x14ac:dyDescent="0.25">
      <c r="D456" s="16">
        <f t="shared" si="6"/>
        <v>0</v>
      </c>
    </row>
    <row r="457" spans="4:4" x14ac:dyDescent="0.25">
      <c r="D457" s="16">
        <f t="shared" si="6"/>
        <v>0</v>
      </c>
    </row>
    <row r="458" spans="4:4" x14ac:dyDescent="0.25">
      <c r="D458" s="16">
        <f t="shared" si="6"/>
        <v>0</v>
      </c>
    </row>
    <row r="459" spans="4:4" x14ac:dyDescent="0.25">
      <c r="D459" s="16">
        <f t="shared" si="6"/>
        <v>0</v>
      </c>
    </row>
    <row r="460" spans="4:4" x14ac:dyDescent="0.25">
      <c r="D460" s="16">
        <f t="shared" si="6"/>
        <v>0</v>
      </c>
    </row>
    <row r="461" spans="4:4" x14ac:dyDescent="0.25">
      <c r="D461" s="16">
        <f t="shared" si="6"/>
        <v>0</v>
      </c>
    </row>
    <row r="462" spans="4:4" x14ac:dyDescent="0.25">
      <c r="D462" s="16">
        <f t="shared" si="6"/>
        <v>0</v>
      </c>
    </row>
    <row r="463" spans="4:4" x14ac:dyDescent="0.25">
      <c r="D463" s="16">
        <f t="shared" si="6"/>
        <v>0</v>
      </c>
    </row>
    <row r="464" spans="4:4" x14ac:dyDescent="0.25">
      <c r="D464" s="16">
        <f t="shared" si="6"/>
        <v>0</v>
      </c>
    </row>
    <row r="465" spans="4:4" x14ac:dyDescent="0.25">
      <c r="D465" s="16">
        <f t="shared" si="6"/>
        <v>0</v>
      </c>
    </row>
    <row r="466" spans="4:4" x14ac:dyDescent="0.25">
      <c r="D466" s="16">
        <f t="shared" si="6"/>
        <v>0</v>
      </c>
    </row>
    <row r="467" spans="4:4" x14ac:dyDescent="0.25">
      <c r="D467" s="16">
        <f t="shared" si="6"/>
        <v>0</v>
      </c>
    </row>
    <row r="468" spans="4:4" x14ac:dyDescent="0.25">
      <c r="D468" s="16">
        <f t="shared" si="6"/>
        <v>0</v>
      </c>
    </row>
    <row r="469" spans="4:4" x14ac:dyDescent="0.25">
      <c r="D469" s="16">
        <f t="shared" ref="D469:D532" si="7">B477+D470</f>
        <v>0</v>
      </c>
    </row>
    <row r="470" spans="4:4" x14ac:dyDescent="0.25">
      <c r="D470" s="16">
        <f t="shared" si="7"/>
        <v>0</v>
      </c>
    </row>
    <row r="471" spans="4:4" x14ac:dyDescent="0.25">
      <c r="D471" s="16">
        <f t="shared" si="7"/>
        <v>0</v>
      </c>
    </row>
    <row r="472" spans="4:4" x14ac:dyDescent="0.25">
      <c r="D472" s="16">
        <f t="shared" si="7"/>
        <v>0</v>
      </c>
    </row>
    <row r="473" spans="4:4" x14ac:dyDescent="0.25">
      <c r="D473" s="16">
        <f t="shared" si="7"/>
        <v>0</v>
      </c>
    </row>
    <row r="474" spans="4:4" x14ac:dyDescent="0.25">
      <c r="D474" s="16">
        <f t="shared" si="7"/>
        <v>0</v>
      </c>
    </row>
    <row r="475" spans="4:4" x14ac:dyDescent="0.25">
      <c r="D475" s="16">
        <f t="shared" si="7"/>
        <v>0</v>
      </c>
    </row>
    <row r="476" spans="4:4" x14ac:dyDescent="0.25">
      <c r="D476" s="16">
        <f t="shared" si="7"/>
        <v>0</v>
      </c>
    </row>
    <row r="477" spans="4:4" x14ac:dyDescent="0.25">
      <c r="D477" s="16">
        <f t="shared" si="7"/>
        <v>0</v>
      </c>
    </row>
    <row r="478" spans="4:4" x14ac:dyDescent="0.25">
      <c r="D478" s="16">
        <f t="shared" si="7"/>
        <v>0</v>
      </c>
    </row>
    <row r="479" spans="4:4" x14ac:dyDescent="0.25">
      <c r="D479" s="16">
        <f t="shared" si="7"/>
        <v>0</v>
      </c>
    </row>
    <row r="480" spans="4:4" x14ac:dyDescent="0.25">
      <c r="D480" s="16">
        <f t="shared" si="7"/>
        <v>0</v>
      </c>
    </row>
    <row r="481" spans="4:4" x14ac:dyDescent="0.25">
      <c r="D481" s="16">
        <f t="shared" si="7"/>
        <v>0</v>
      </c>
    </row>
    <row r="482" spans="4:4" x14ac:dyDescent="0.25">
      <c r="D482" s="16">
        <f t="shared" si="7"/>
        <v>0</v>
      </c>
    </row>
    <row r="483" spans="4:4" x14ac:dyDescent="0.25">
      <c r="D483" s="16">
        <f t="shared" si="7"/>
        <v>0</v>
      </c>
    </row>
    <row r="484" spans="4:4" x14ac:dyDescent="0.25">
      <c r="D484" s="16">
        <f t="shared" si="7"/>
        <v>0</v>
      </c>
    </row>
    <row r="485" spans="4:4" x14ac:dyDescent="0.25">
      <c r="D485" s="16">
        <f t="shared" si="7"/>
        <v>0</v>
      </c>
    </row>
    <row r="486" spans="4:4" x14ac:dyDescent="0.25">
      <c r="D486" s="16">
        <f t="shared" si="7"/>
        <v>0</v>
      </c>
    </row>
    <row r="487" spans="4:4" x14ac:dyDescent="0.25">
      <c r="D487" s="16">
        <f t="shared" si="7"/>
        <v>0</v>
      </c>
    </row>
    <row r="488" spans="4:4" x14ac:dyDescent="0.25">
      <c r="D488" s="16">
        <f t="shared" si="7"/>
        <v>0</v>
      </c>
    </row>
    <row r="489" spans="4:4" x14ac:dyDescent="0.25">
      <c r="D489" s="16">
        <f t="shared" si="7"/>
        <v>0</v>
      </c>
    </row>
    <row r="490" spans="4:4" x14ac:dyDescent="0.25">
      <c r="D490" s="16">
        <f t="shared" si="7"/>
        <v>0</v>
      </c>
    </row>
    <row r="491" spans="4:4" x14ac:dyDescent="0.25">
      <c r="D491" s="16">
        <f t="shared" si="7"/>
        <v>0</v>
      </c>
    </row>
    <row r="492" spans="4:4" x14ac:dyDescent="0.25">
      <c r="D492" s="16">
        <f t="shared" si="7"/>
        <v>0</v>
      </c>
    </row>
    <row r="493" spans="4:4" x14ac:dyDescent="0.25">
      <c r="D493" s="16">
        <f t="shared" si="7"/>
        <v>0</v>
      </c>
    </row>
    <row r="494" spans="4:4" x14ac:dyDescent="0.25">
      <c r="D494" s="16">
        <f t="shared" si="7"/>
        <v>0</v>
      </c>
    </row>
    <row r="495" spans="4:4" x14ac:dyDescent="0.25">
      <c r="D495" s="16">
        <f t="shared" si="7"/>
        <v>0</v>
      </c>
    </row>
    <row r="496" spans="4:4" x14ac:dyDescent="0.25">
      <c r="D496" s="16">
        <f t="shared" si="7"/>
        <v>0</v>
      </c>
    </row>
    <row r="497" spans="4:4" x14ac:dyDescent="0.25">
      <c r="D497" s="16">
        <f t="shared" si="7"/>
        <v>0</v>
      </c>
    </row>
    <row r="498" spans="4:4" x14ac:dyDescent="0.25">
      <c r="D498" s="16">
        <f t="shared" si="7"/>
        <v>0</v>
      </c>
    </row>
    <row r="499" spans="4:4" x14ac:dyDescent="0.25">
      <c r="D499" s="16">
        <f t="shared" si="7"/>
        <v>0</v>
      </c>
    </row>
    <row r="500" spans="4:4" x14ac:dyDescent="0.25">
      <c r="D500" s="16">
        <f t="shared" si="7"/>
        <v>0</v>
      </c>
    </row>
    <row r="501" spans="4:4" x14ac:dyDescent="0.25">
      <c r="D501" s="16">
        <f t="shared" si="7"/>
        <v>0</v>
      </c>
    </row>
    <row r="502" spans="4:4" x14ac:dyDescent="0.25">
      <c r="D502" s="16">
        <f t="shared" si="7"/>
        <v>0</v>
      </c>
    </row>
    <row r="503" spans="4:4" x14ac:dyDescent="0.25">
      <c r="D503" s="16">
        <f t="shared" si="7"/>
        <v>0</v>
      </c>
    </row>
    <row r="504" spans="4:4" x14ac:dyDescent="0.25">
      <c r="D504" s="16">
        <f t="shared" si="7"/>
        <v>0</v>
      </c>
    </row>
    <row r="505" spans="4:4" x14ac:dyDescent="0.25">
      <c r="D505" s="16">
        <f t="shared" si="7"/>
        <v>0</v>
      </c>
    </row>
    <row r="506" spans="4:4" x14ac:dyDescent="0.25">
      <c r="D506" s="16">
        <f t="shared" si="7"/>
        <v>0</v>
      </c>
    </row>
    <row r="507" spans="4:4" x14ac:dyDescent="0.25">
      <c r="D507" s="16">
        <f t="shared" si="7"/>
        <v>0</v>
      </c>
    </row>
    <row r="508" spans="4:4" x14ac:dyDescent="0.25">
      <c r="D508" s="16">
        <f t="shared" si="7"/>
        <v>0</v>
      </c>
    </row>
    <row r="509" spans="4:4" x14ac:dyDescent="0.25">
      <c r="D509" s="16">
        <f t="shared" si="7"/>
        <v>0</v>
      </c>
    </row>
    <row r="510" spans="4:4" x14ac:dyDescent="0.25">
      <c r="D510" s="16">
        <f t="shared" si="7"/>
        <v>0</v>
      </c>
    </row>
    <row r="511" spans="4:4" x14ac:dyDescent="0.25">
      <c r="D511" s="16">
        <f t="shared" si="7"/>
        <v>0</v>
      </c>
    </row>
    <row r="512" spans="4:4" x14ac:dyDescent="0.25">
      <c r="D512" s="16">
        <f t="shared" si="7"/>
        <v>0</v>
      </c>
    </row>
    <row r="513" spans="4:4" x14ac:dyDescent="0.25">
      <c r="D513" s="16">
        <f t="shared" si="7"/>
        <v>0</v>
      </c>
    </row>
    <row r="514" spans="4:4" x14ac:dyDescent="0.25">
      <c r="D514" s="16">
        <f t="shared" si="7"/>
        <v>0</v>
      </c>
    </row>
    <row r="515" spans="4:4" x14ac:dyDescent="0.25">
      <c r="D515" s="16">
        <f t="shared" si="7"/>
        <v>0</v>
      </c>
    </row>
    <row r="516" spans="4:4" x14ac:dyDescent="0.25">
      <c r="D516" s="16">
        <f t="shared" si="7"/>
        <v>0</v>
      </c>
    </row>
    <row r="517" spans="4:4" x14ac:dyDescent="0.25">
      <c r="D517" s="16">
        <f t="shared" si="7"/>
        <v>0</v>
      </c>
    </row>
    <row r="518" spans="4:4" x14ac:dyDescent="0.25">
      <c r="D518" s="16">
        <f t="shared" si="7"/>
        <v>0</v>
      </c>
    </row>
    <row r="519" spans="4:4" x14ac:dyDescent="0.25">
      <c r="D519" s="16">
        <f t="shared" si="7"/>
        <v>0</v>
      </c>
    </row>
    <row r="520" spans="4:4" x14ac:dyDescent="0.25">
      <c r="D520" s="16">
        <f t="shared" si="7"/>
        <v>0</v>
      </c>
    </row>
    <row r="521" spans="4:4" x14ac:dyDescent="0.25">
      <c r="D521" s="16">
        <f t="shared" si="7"/>
        <v>0</v>
      </c>
    </row>
    <row r="522" spans="4:4" x14ac:dyDescent="0.25">
      <c r="D522" s="16">
        <f t="shared" si="7"/>
        <v>0</v>
      </c>
    </row>
    <row r="523" spans="4:4" x14ac:dyDescent="0.25">
      <c r="D523" s="16">
        <f t="shared" si="7"/>
        <v>0</v>
      </c>
    </row>
    <row r="524" spans="4:4" x14ac:dyDescent="0.25">
      <c r="D524" s="16">
        <f t="shared" si="7"/>
        <v>0</v>
      </c>
    </row>
    <row r="525" spans="4:4" x14ac:dyDescent="0.25">
      <c r="D525" s="16">
        <f t="shared" si="7"/>
        <v>0</v>
      </c>
    </row>
    <row r="526" spans="4:4" x14ac:dyDescent="0.25">
      <c r="D526" s="16">
        <f t="shared" si="7"/>
        <v>0</v>
      </c>
    </row>
    <row r="527" spans="4:4" x14ac:dyDescent="0.25">
      <c r="D527" s="16">
        <f t="shared" si="7"/>
        <v>0</v>
      </c>
    </row>
    <row r="528" spans="4:4" x14ac:dyDescent="0.25">
      <c r="D528" s="16">
        <f t="shared" si="7"/>
        <v>0</v>
      </c>
    </row>
    <row r="529" spans="4:4" x14ac:dyDescent="0.25">
      <c r="D529" s="16">
        <f t="shared" si="7"/>
        <v>0</v>
      </c>
    </row>
    <row r="530" spans="4:4" x14ac:dyDescent="0.25">
      <c r="D530" s="16">
        <f t="shared" si="7"/>
        <v>0</v>
      </c>
    </row>
    <row r="531" spans="4:4" x14ac:dyDescent="0.25">
      <c r="D531" s="16">
        <f t="shared" si="7"/>
        <v>0</v>
      </c>
    </row>
    <row r="532" spans="4:4" x14ac:dyDescent="0.25">
      <c r="D532" s="16">
        <f t="shared" si="7"/>
        <v>0</v>
      </c>
    </row>
    <row r="533" spans="4:4" x14ac:dyDescent="0.25">
      <c r="D533" s="16">
        <f t="shared" ref="D533:D596" si="8">B541+D534</f>
        <v>0</v>
      </c>
    </row>
    <row r="534" spans="4:4" x14ac:dyDescent="0.25">
      <c r="D534" s="16">
        <f t="shared" si="8"/>
        <v>0</v>
      </c>
    </row>
    <row r="535" spans="4:4" x14ac:dyDescent="0.25">
      <c r="D535" s="16">
        <f t="shared" si="8"/>
        <v>0</v>
      </c>
    </row>
    <row r="536" spans="4:4" x14ac:dyDescent="0.25">
      <c r="D536" s="16">
        <f t="shared" si="8"/>
        <v>0</v>
      </c>
    </row>
    <row r="537" spans="4:4" x14ac:dyDescent="0.25">
      <c r="D537" s="16">
        <f t="shared" si="8"/>
        <v>0</v>
      </c>
    </row>
    <row r="538" spans="4:4" x14ac:dyDescent="0.25">
      <c r="D538" s="16">
        <f t="shared" si="8"/>
        <v>0</v>
      </c>
    </row>
    <row r="539" spans="4:4" x14ac:dyDescent="0.25">
      <c r="D539" s="16">
        <f t="shared" si="8"/>
        <v>0</v>
      </c>
    </row>
    <row r="540" spans="4:4" x14ac:dyDescent="0.25">
      <c r="D540" s="16">
        <f t="shared" si="8"/>
        <v>0</v>
      </c>
    </row>
    <row r="541" spans="4:4" x14ac:dyDescent="0.25">
      <c r="D541" s="16">
        <f t="shared" si="8"/>
        <v>0</v>
      </c>
    </row>
    <row r="542" spans="4:4" x14ac:dyDescent="0.25">
      <c r="D542" s="16">
        <f t="shared" si="8"/>
        <v>0</v>
      </c>
    </row>
    <row r="543" spans="4:4" x14ac:dyDescent="0.25">
      <c r="D543" s="16">
        <f t="shared" si="8"/>
        <v>0</v>
      </c>
    </row>
    <row r="544" spans="4:4" x14ac:dyDescent="0.25">
      <c r="D544" s="16">
        <f t="shared" si="8"/>
        <v>0</v>
      </c>
    </row>
    <row r="545" spans="4:4" x14ac:dyDescent="0.25">
      <c r="D545" s="16">
        <f t="shared" si="8"/>
        <v>0</v>
      </c>
    </row>
    <row r="546" spans="4:4" x14ac:dyDescent="0.25">
      <c r="D546" s="16">
        <f t="shared" si="8"/>
        <v>0</v>
      </c>
    </row>
    <row r="547" spans="4:4" x14ac:dyDescent="0.25">
      <c r="D547" s="16">
        <f t="shared" si="8"/>
        <v>0</v>
      </c>
    </row>
    <row r="548" spans="4:4" x14ac:dyDescent="0.25">
      <c r="D548" s="16">
        <f t="shared" si="8"/>
        <v>0</v>
      </c>
    </row>
    <row r="549" spans="4:4" x14ac:dyDescent="0.25">
      <c r="D549" s="16">
        <f t="shared" si="8"/>
        <v>0</v>
      </c>
    </row>
    <row r="550" spans="4:4" x14ac:dyDescent="0.25">
      <c r="D550" s="16">
        <f t="shared" si="8"/>
        <v>0</v>
      </c>
    </row>
    <row r="551" spans="4:4" x14ac:dyDescent="0.25">
      <c r="D551" s="16">
        <f t="shared" si="8"/>
        <v>0</v>
      </c>
    </row>
    <row r="552" spans="4:4" x14ac:dyDescent="0.25">
      <c r="D552" s="16">
        <f t="shared" si="8"/>
        <v>0</v>
      </c>
    </row>
    <row r="553" spans="4:4" x14ac:dyDescent="0.25">
      <c r="D553" s="16">
        <f t="shared" si="8"/>
        <v>0</v>
      </c>
    </row>
    <row r="554" spans="4:4" x14ac:dyDescent="0.25">
      <c r="D554" s="16">
        <f t="shared" si="8"/>
        <v>0</v>
      </c>
    </row>
    <row r="555" spans="4:4" x14ac:dyDescent="0.25">
      <c r="D555" s="16">
        <f t="shared" si="8"/>
        <v>0</v>
      </c>
    </row>
    <row r="556" spans="4:4" x14ac:dyDescent="0.25">
      <c r="D556" s="16">
        <f t="shared" si="8"/>
        <v>0</v>
      </c>
    </row>
    <row r="557" spans="4:4" x14ac:dyDescent="0.25">
      <c r="D557" s="16">
        <f t="shared" si="8"/>
        <v>0</v>
      </c>
    </row>
    <row r="558" spans="4:4" x14ac:dyDescent="0.25">
      <c r="D558" s="16">
        <f t="shared" si="8"/>
        <v>0</v>
      </c>
    </row>
    <row r="559" spans="4:4" x14ac:dyDescent="0.25">
      <c r="D559" s="16">
        <f t="shared" si="8"/>
        <v>0</v>
      </c>
    </row>
    <row r="560" spans="4:4" x14ac:dyDescent="0.25">
      <c r="D560" s="16">
        <f t="shared" si="8"/>
        <v>0</v>
      </c>
    </row>
    <row r="561" spans="4:4" x14ac:dyDescent="0.25">
      <c r="D561" s="16">
        <f t="shared" si="8"/>
        <v>0</v>
      </c>
    </row>
    <row r="562" spans="4:4" x14ac:dyDescent="0.25">
      <c r="D562" s="16">
        <f t="shared" si="8"/>
        <v>0</v>
      </c>
    </row>
    <row r="563" spans="4:4" x14ac:dyDescent="0.25">
      <c r="D563" s="16">
        <f t="shared" si="8"/>
        <v>0</v>
      </c>
    </row>
    <row r="564" spans="4:4" x14ac:dyDescent="0.25">
      <c r="D564" s="16">
        <f t="shared" si="8"/>
        <v>0</v>
      </c>
    </row>
    <row r="565" spans="4:4" x14ac:dyDescent="0.25">
      <c r="D565" s="16">
        <f t="shared" si="8"/>
        <v>0</v>
      </c>
    </row>
    <row r="566" spans="4:4" x14ac:dyDescent="0.25">
      <c r="D566" s="16">
        <f t="shared" si="8"/>
        <v>0</v>
      </c>
    </row>
    <row r="567" spans="4:4" x14ac:dyDescent="0.25">
      <c r="D567" s="16">
        <f t="shared" si="8"/>
        <v>0</v>
      </c>
    </row>
    <row r="568" spans="4:4" x14ac:dyDescent="0.25">
      <c r="D568" s="16">
        <f t="shared" si="8"/>
        <v>0</v>
      </c>
    </row>
    <row r="569" spans="4:4" x14ac:dyDescent="0.25">
      <c r="D569" s="16">
        <f t="shared" si="8"/>
        <v>0</v>
      </c>
    </row>
    <row r="570" spans="4:4" x14ac:dyDescent="0.25">
      <c r="D570" s="16">
        <f t="shared" si="8"/>
        <v>0</v>
      </c>
    </row>
    <row r="571" spans="4:4" x14ac:dyDescent="0.25">
      <c r="D571" s="16">
        <f t="shared" si="8"/>
        <v>0</v>
      </c>
    </row>
    <row r="572" spans="4:4" x14ac:dyDescent="0.25">
      <c r="D572" s="16">
        <f t="shared" si="8"/>
        <v>0</v>
      </c>
    </row>
    <row r="573" spans="4:4" x14ac:dyDescent="0.25">
      <c r="D573" s="16">
        <f t="shared" si="8"/>
        <v>0</v>
      </c>
    </row>
    <row r="574" spans="4:4" x14ac:dyDescent="0.25">
      <c r="D574" s="16">
        <f t="shared" si="8"/>
        <v>0</v>
      </c>
    </row>
    <row r="575" spans="4:4" x14ac:dyDescent="0.25">
      <c r="D575" s="16">
        <f t="shared" si="8"/>
        <v>0</v>
      </c>
    </row>
    <row r="576" spans="4:4" x14ac:dyDescent="0.25">
      <c r="D576" s="16">
        <f t="shared" si="8"/>
        <v>0</v>
      </c>
    </row>
    <row r="577" spans="4:4" x14ac:dyDescent="0.25">
      <c r="D577" s="16">
        <f t="shared" si="8"/>
        <v>0</v>
      </c>
    </row>
    <row r="578" spans="4:4" x14ac:dyDescent="0.25">
      <c r="D578" s="16">
        <f t="shared" si="8"/>
        <v>0</v>
      </c>
    </row>
    <row r="579" spans="4:4" x14ac:dyDescent="0.25">
      <c r="D579" s="16">
        <f t="shared" si="8"/>
        <v>0</v>
      </c>
    </row>
    <row r="580" spans="4:4" x14ac:dyDescent="0.25">
      <c r="D580" s="16">
        <f t="shared" si="8"/>
        <v>0</v>
      </c>
    </row>
    <row r="581" spans="4:4" x14ac:dyDescent="0.25">
      <c r="D581" s="16">
        <f t="shared" si="8"/>
        <v>0</v>
      </c>
    </row>
    <row r="582" spans="4:4" x14ac:dyDescent="0.25">
      <c r="D582" s="16">
        <f t="shared" si="8"/>
        <v>0</v>
      </c>
    </row>
    <row r="583" spans="4:4" x14ac:dyDescent="0.25">
      <c r="D583" s="16">
        <f t="shared" si="8"/>
        <v>0</v>
      </c>
    </row>
    <row r="584" spans="4:4" x14ac:dyDescent="0.25">
      <c r="D584" s="16">
        <f t="shared" si="8"/>
        <v>0</v>
      </c>
    </row>
    <row r="585" spans="4:4" x14ac:dyDescent="0.25">
      <c r="D585" s="16">
        <f t="shared" si="8"/>
        <v>0</v>
      </c>
    </row>
    <row r="586" spans="4:4" x14ac:dyDescent="0.25">
      <c r="D586" s="16">
        <f t="shared" si="8"/>
        <v>0</v>
      </c>
    </row>
    <row r="587" spans="4:4" x14ac:dyDescent="0.25">
      <c r="D587" s="16">
        <f t="shared" si="8"/>
        <v>0</v>
      </c>
    </row>
    <row r="588" spans="4:4" x14ac:dyDescent="0.25">
      <c r="D588" s="16">
        <f t="shared" si="8"/>
        <v>0</v>
      </c>
    </row>
    <row r="589" spans="4:4" x14ac:dyDescent="0.25">
      <c r="D589" s="16">
        <f t="shared" si="8"/>
        <v>0</v>
      </c>
    </row>
    <row r="590" spans="4:4" x14ac:dyDescent="0.25">
      <c r="D590" s="16">
        <f t="shared" si="8"/>
        <v>0</v>
      </c>
    </row>
    <row r="591" spans="4:4" x14ac:dyDescent="0.25">
      <c r="D591" s="16">
        <f t="shared" si="8"/>
        <v>0</v>
      </c>
    </row>
    <row r="592" spans="4:4" x14ac:dyDescent="0.25">
      <c r="D592" s="16">
        <f t="shared" si="8"/>
        <v>0</v>
      </c>
    </row>
    <row r="593" spans="4:4" x14ac:dyDescent="0.25">
      <c r="D593" s="16">
        <f t="shared" si="8"/>
        <v>0</v>
      </c>
    </row>
    <row r="594" spans="4:4" x14ac:dyDescent="0.25">
      <c r="D594" s="16">
        <f t="shared" si="8"/>
        <v>0</v>
      </c>
    </row>
    <row r="595" spans="4:4" x14ac:dyDescent="0.25">
      <c r="D595" s="16">
        <f t="shared" si="8"/>
        <v>0</v>
      </c>
    </row>
    <row r="596" spans="4:4" x14ac:dyDescent="0.25">
      <c r="D596" s="16">
        <f t="shared" si="8"/>
        <v>0</v>
      </c>
    </row>
    <row r="597" spans="4:4" x14ac:dyDescent="0.25">
      <c r="D597" s="16">
        <f t="shared" ref="D597:D660" si="9">B605+D598</f>
        <v>0</v>
      </c>
    </row>
    <row r="598" spans="4:4" x14ac:dyDescent="0.25">
      <c r="D598" s="16">
        <f t="shared" si="9"/>
        <v>0</v>
      </c>
    </row>
    <row r="599" spans="4:4" x14ac:dyDescent="0.25">
      <c r="D599" s="16">
        <f t="shared" si="9"/>
        <v>0</v>
      </c>
    </row>
    <row r="600" spans="4:4" x14ac:dyDescent="0.25">
      <c r="D600" s="16">
        <f t="shared" si="9"/>
        <v>0</v>
      </c>
    </row>
    <row r="601" spans="4:4" x14ac:dyDescent="0.25">
      <c r="D601" s="16">
        <f t="shared" si="9"/>
        <v>0</v>
      </c>
    </row>
    <row r="602" spans="4:4" x14ac:dyDescent="0.25">
      <c r="D602" s="16">
        <f t="shared" si="9"/>
        <v>0</v>
      </c>
    </row>
    <row r="603" spans="4:4" x14ac:dyDescent="0.25">
      <c r="D603" s="16">
        <f t="shared" si="9"/>
        <v>0</v>
      </c>
    </row>
    <row r="604" spans="4:4" x14ac:dyDescent="0.25">
      <c r="D604" s="16">
        <f t="shared" si="9"/>
        <v>0</v>
      </c>
    </row>
    <row r="605" spans="4:4" x14ac:dyDescent="0.25">
      <c r="D605" s="16">
        <f t="shared" si="9"/>
        <v>0</v>
      </c>
    </row>
    <row r="606" spans="4:4" x14ac:dyDescent="0.25">
      <c r="D606" s="16">
        <f t="shared" si="9"/>
        <v>0</v>
      </c>
    </row>
    <row r="607" spans="4:4" x14ac:dyDescent="0.25">
      <c r="D607" s="16">
        <f t="shared" si="9"/>
        <v>0</v>
      </c>
    </row>
    <row r="608" spans="4:4" x14ac:dyDescent="0.25">
      <c r="D608" s="16">
        <f t="shared" si="9"/>
        <v>0</v>
      </c>
    </row>
    <row r="609" spans="4:4" x14ac:dyDescent="0.25">
      <c r="D609" s="16">
        <f t="shared" si="9"/>
        <v>0</v>
      </c>
    </row>
    <row r="610" spans="4:4" x14ac:dyDescent="0.25">
      <c r="D610" s="16">
        <f t="shared" si="9"/>
        <v>0</v>
      </c>
    </row>
    <row r="611" spans="4:4" x14ac:dyDescent="0.25">
      <c r="D611" s="16">
        <f t="shared" si="9"/>
        <v>0</v>
      </c>
    </row>
    <row r="612" spans="4:4" x14ac:dyDescent="0.25">
      <c r="D612" s="16">
        <f t="shared" si="9"/>
        <v>0</v>
      </c>
    </row>
    <row r="613" spans="4:4" x14ac:dyDescent="0.25">
      <c r="D613" s="16">
        <f t="shared" si="9"/>
        <v>0</v>
      </c>
    </row>
    <row r="614" spans="4:4" x14ac:dyDescent="0.25">
      <c r="D614" s="16">
        <f t="shared" si="9"/>
        <v>0</v>
      </c>
    </row>
    <row r="615" spans="4:4" x14ac:dyDescent="0.25">
      <c r="D615" s="16">
        <f t="shared" si="9"/>
        <v>0</v>
      </c>
    </row>
    <row r="616" spans="4:4" x14ac:dyDescent="0.25">
      <c r="D616" s="16">
        <f t="shared" si="9"/>
        <v>0</v>
      </c>
    </row>
    <row r="617" spans="4:4" x14ac:dyDescent="0.25">
      <c r="D617" s="16">
        <f t="shared" si="9"/>
        <v>0</v>
      </c>
    </row>
    <row r="618" spans="4:4" x14ac:dyDescent="0.25">
      <c r="D618" s="16">
        <f t="shared" si="9"/>
        <v>0</v>
      </c>
    </row>
    <row r="619" spans="4:4" x14ac:dyDescent="0.25">
      <c r="D619" s="16">
        <f t="shared" si="9"/>
        <v>0</v>
      </c>
    </row>
    <row r="620" spans="4:4" x14ac:dyDescent="0.25">
      <c r="D620" s="16">
        <f t="shared" si="9"/>
        <v>0</v>
      </c>
    </row>
    <row r="621" spans="4:4" x14ac:dyDescent="0.25">
      <c r="D621" s="16">
        <f t="shared" si="9"/>
        <v>0</v>
      </c>
    </row>
    <row r="622" spans="4:4" x14ac:dyDescent="0.25">
      <c r="D622" s="16">
        <f t="shared" si="9"/>
        <v>0</v>
      </c>
    </row>
    <row r="623" spans="4:4" x14ac:dyDescent="0.25">
      <c r="D623" s="16">
        <f t="shared" si="9"/>
        <v>0</v>
      </c>
    </row>
    <row r="624" spans="4:4" x14ac:dyDescent="0.25">
      <c r="D624" s="16">
        <f t="shared" si="9"/>
        <v>0</v>
      </c>
    </row>
    <row r="625" spans="4:4" x14ac:dyDescent="0.25">
      <c r="D625" s="16">
        <f t="shared" si="9"/>
        <v>0</v>
      </c>
    </row>
    <row r="626" spans="4:4" x14ac:dyDescent="0.25">
      <c r="D626" s="16">
        <f t="shared" si="9"/>
        <v>0</v>
      </c>
    </row>
    <row r="627" spans="4:4" x14ac:dyDescent="0.25">
      <c r="D627" s="16">
        <f t="shared" si="9"/>
        <v>0</v>
      </c>
    </row>
    <row r="628" spans="4:4" x14ac:dyDescent="0.25">
      <c r="D628" s="16">
        <f t="shared" si="9"/>
        <v>0</v>
      </c>
    </row>
    <row r="629" spans="4:4" x14ac:dyDescent="0.25">
      <c r="D629" s="16">
        <f t="shared" si="9"/>
        <v>0</v>
      </c>
    </row>
    <row r="630" spans="4:4" x14ac:dyDescent="0.25">
      <c r="D630" s="16">
        <f t="shared" si="9"/>
        <v>0</v>
      </c>
    </row>
    <row r="631" spans="4:4" x14ac:dyDescent="0.25">
      <c r="D631" s="16">
        <f t="shared" si="9"/>
        <v>0</v>
      </c>
    </row>
    <row r="632" spans="4:4" x14ac:dyDescent="0.25">
      <c r="D632" s="16">
        <f t="shared" si="9"/>
        <v>0</v>
      </c>
    </row>
    <row r="633" spans="4:4" x14ac:dyDescent="0.25">
      <c r="D633" s="16">
        <f t="shared" si="9"/>
        <v>0</v>
      </c>
    </row>
    <row r="634" spans="4:4" x14ac:dyDescent="0.25">
      <c r="D634" s="16">
        <f t="shared" si="9"/>
        <v>0</v>
      </c>
    </row>
    <row r="635" spans="4:4" x14ac:dyDescent="0.25">
      <c r="D635" s="16">
        <f t="shared" si="9"/>
        <v>0</v>
      </c>
    </row>
    <row r="636" spans="4:4" x14ac:dyDescent="0.25">
      <c r="D636" s="16">
        <f t="shared" si="9"/>
        <v>0</v>
      </c>
    </row>
    <row r="637" spans="4:4" x14ac:dyDescent="0.25">
      <c r="D637" s="16">
        <f t="shared" si="9"/>
        <v>0</v>
      </c>
    </row>
    <row r="638" spans="4:4" x14ac:dyDescent="0.25">
      <c r="D638" s="16">
        <f t="shared" si="9"/>
        <v>0</v>
      </c>
    </row>
    <row r="639" spans="4:4" x14ac:dyDescent="0.25">
      <c r="D639" s="16">
        <f t="shared" si="9"/>
        <v>0</v>
      </c>
    </row>
    <row r="640" spans="4:4" x14ac:dyDescent="0.25">
      <c r="D640" s="16">
        <f t="shared" si="9"/>
        <v>0</v>
      </c>
    </row>
    <row r="641" spans="4:4" x14ac:dyDescent="0.25">
      <c r="D641" s="16">
        <f t="shared" si="9"/>
        <v>0</v>
      </c>
    </row>
    <row r="642" spans="4:4" x14ac:dyDescent="0.25">
      <c r="D642" s="16">
        <f t="shared" si="9"/>
        <v>0</v>
      </c>
    </row>
    <row r="643" spans="4:4" x14ac:dyDescent="0.25">
      <c r="D643" s="16">
        <f t="shared" si="9"/>
        <v>0</v>
      </c>
    </row>
    <row r="644" spans="4:4" x14ac:dyDescent="0.25">
      <c r="D644" s="16">
        <f t="shared" si="9"/>
        <v>0</v>
      </c>
    </row>
    <row r="645" spans="4:4" x14ac:dyDescent="0.25">
      <c r="D645" s="16">
        <f t="shared" si="9"/>
        <v>0</v>
      </c>
    </row>
    <row r="646" spans="4:4" x14ac:dyDescent="0.25">
      <c r="D646" s="16">
        <f t="shared" si="9"/>
        <v>0</v>
      </c>
    </row>
    <row r="647" spans="4:4" x14ac:dyDescent="0.25">
      <c r="D647" s="16">
        <f t="shared" si="9"/>
        <v>0</v>
      </c>
    </row>
    <row r="648" spans="4:4" x14ac:dyDescent="0.25">
      <c r="D648" s="16">
        <f t="shared" si="9"/>
        <v>0</v>
      </c>
    </row>
    <row r="649" spans="4:4" x14ac:dyDescent="0.25">
      <c r="D649" s="16">
        <f t="shared" si="9"/>
        <v>0</v>
      </c>
    </row>
    <row r="650" spans="4:4" x14ac:dyDescent="0.25">
      <c r="D650" s="16">
        <f t="shared" si="9"/>
        <v>0</v>
      </c>
    </row>
    <row r="651" spans="4:4" x14ac:dyDescent="0.25">
      <c r="D651" s="16">
        <f t="shared" si="9"/>
        <v>0</v>
      </c>
    </row>
    <row r="652" spans="4:4" x14ac:dyDescent="0.25">
      <c r="D652" s="16">
        <f t="shared" si="9"/>
        <v>0</v>
      </c>
    </row>
    <row r="653" spans="4:4" x14ac:dyDescent="0.25">
      <c r="D653" s="16">
        <f t="shared" si="9"/>
        <v>0</v>
      </c>
    </row>
    <row r="654" spans="4:4" x14ac:dyDescent="0.25">
      <c r="D654" s="16">
        <f t="shared" si="9"/>
        <v>0</v>
      </c>
    </row>
    <row r="655" spans="4:4" x14ac:dyDescent="0.25">
      <c r="D655" s="16">
        <f t="shared" si="9"/>
        <v>0</v>
      </c>
    </row>
    <row r="656" spans="4:4" x14ac:dyDescent="0.25">
      <c r="D656" s="16">
        <f t="shared" si="9"/>
        <v>0</v>
      </c>
    </row>
    <row r="657" spans="4:4" x14ac:dyDescent="0.25">
      <c r="D657" s="16">
        <f t="shared" si="9"/>
        <v>0</v>
      </c>
    </row>
    <row r="658" spans="4:4" x14ac:dyDescent="0.25">
      <c r="D658" s="16">
        <f t="shared" si="9"/>
        <v>0</v>
      </c>
    </row>
    <row r="659" spans="4:4" x14ac:dyDescent="0.25">
      <c r="D659" s="16">
        <f t="shared" si="9"/>
        <v>0</v>
      </c>
    </row>
    <row r="660" spans="4:4" x14ac:dyDescent="0.25">
      <c r="D660" s="16">
        <f t="shared" si="9"/>
        <v>0</v>
      </c>
    </row>
    <row r="661" spans="4:4" x14ac:dyDescent="0.25">
      <c r="D661" s="16">
        <f t="shared" ref="D661:D724" si="10">B669+D662</f>
        <v>0</v>
      </c>
    </row>
    <row r="662" spans="4:4" x14ac:dyDescent="0.25">
      <c r="D662" s="16">
        <f t="shared" si="10"/>
        <v>0</v>
      </c>
    </row>
    <row r="663" spans="4:4" x14ac:dyDescent="0.25">
      <c r="D663" s="16">
        <f t="shared" si="10"/>
        <v>0</v>
      </c>
    </row>
    <row r="664" spans="4:4" x14ac:dyDescent="0.25">
      <c r="D664" s="16">
        <f t="shared" si="10"/>
        <v>0</v>
      </c>
    </row>
    <row r="665" spans="4:4" x14ac:dyDescent="0.25">
      <c r="D665" s="16">
        <f t="shared" si="10"/>
        <v>0</v>
      </c>
    </row>
    <row r="666" spans="4:4" x14ac:dyDescent="0.25">
      <c r="D666" s="16">
        <f t="shared" si="10"/>
        <v>0</v>
      </c>
    </row>
    <row r="667" spans="4:4" x14ac:dyDescent="0.25">
      <c r="D667" s="16">
        <f t="shared" si="10"/>
        <v>0</v>
      </c>
    </row>
    <row r="668" spans="4:4" x14ac:dyDescent="0.25">
      <c r="D668" s="16">
        <f t="shared" si="10"/>
        <v>0</v>
      </c>
    </row>
    <row r="669" spans="4:4" x14ac:dyDescent="0.25">
      <c r="D669" s="16">
        <f t="shared" si="10"/>
        <v>0</v>
      </c>
    </row>
    <row r="670" spans="4:4" x14ac:dyDescent="0.25">
      <c r="D670" s="16">
        <f t="shared" si="10"/>
        <v>0</v>
      </c>
    </row>
    <row r="671" spans="4:4" x14ac:dyDescent="0.25">
      <c r="D671" s="16">
        <f t="shared" si="10"/>
        <v>0</v>
      </c>
    </row>
    <row r="672" spans="4:4" x14ac:dyDescent="0.25">
      <c r="D672" s="16">
        <f t="shared" si="10"/>
        <v>0</v>
      </c>
    </row>
    <row r="673" spans="4:4" x14ac:dyDescent="0.25">
      <c r="D673" s="16">
        <f t="shared" si="10"/>
        <v>0</v>
      </c>
    </row>
    <row r="674" spans="4:4" x14ac:dyDescent="0.25">
      <c r="D674" s="16">
        <f t="shared" si="10"/>
        <v>0</v>
      </c>
    </row>
    <row r="675" spans="4:4" x14ac:dyDescent="0.25">
      <c r="D675" s="16">
        <f t="shared" si="10"/>
        <v>0</v>
      </c>
    </row>
    <row r="676" spans="4:4" x14ac:dyDescent="0.25">
      <c r="D676" s="16">
        <f t="shared" si="10"/>
        <v>0</v>
      </c>
    </row>
    <row r="677" spans="4:4" x14ac:dyDescent="0.25">
      <c r="D677" s="16">
        <f t="shared" si="10"/>
        <v>0</v>
      </c>
    </row>
    <row r="678" spans="4:4" x14ac:dyDescent="0.25">
      <c r="D678" s="16">
        <f t="shared" si="10"/>
        <v>0</v>
      </c>
    </row>
    <row r="679" spans="4:4" x14ac:dyDescent="0.25">
      <c r="D679" s="16">
        <f t="shared" si="10"/>
        <v>0</v>
      </c>
    </row>
    <row r="680" spans="4:4" x14ac:dyDescent="0.25">
      <c r="D680" s="16">
        <f t="shared" si="10"/>
        <v>0</v>
      </c>
    </row>
    <row r="681" spans="4:4" x14ac:dyDescent="0.25">
      <c r="D681" s="16">
        <f t="shared" si="10"/>
        <v>0</v>
      </c>
    </row>
    <row r="682" spans="4:4" x14ac:dyDescent="0.25">
      <c r="D682" s="16">
        <f t="shared" si="10"/>
        <v>0</v>
      </c>
    </row>
    <row r="683" spans="4:4" x14ac:dyDescent="0.25">
      <c r="D683" s="16">
        <f t="shared" si="10"/>
        <v>0</v>
      </c>
    </row>
    <row r="684" spans="4:4" x14ac:dyDescent="0.25">
      <c r="D684" s="16">
        <f t="shared" si="10"/>
        <v>0</v>
      </c>
    </row>
    <row r="685" spans="4:4" x14ac:dyDescent="0.25">
      <c r="D685" s="16">
        <f t="shared" si="10"/>
        <v>0</v>
      </c>
    </row>
    <row r="686" spans="4:4" x14ac:dyDescent="0.25">
      <c r="D686" s="16">
        <f t="shared" si="10"/>
        <v>0</v>
      </c>
    </row>
    <row r="687" spans="4:4" x14ac:dyDescent="0.25">
      <c r="D687" s="16">
        <f t="shared" si="10"/>
        <v>0</v>
      </c>
    </row>
    <row r="688" spans="4:4" x14ac:dyDescent="0.25">
      <c r="D688" s="16">
        <f t="shared" si="10"/>
        <v>0</v>
      </c>
    </row>
    <row r="689" spans="4:4" x14ac:dyDescent="0.25">
      <c r="D689" s="16">
        <f t="shared" si="10"/>
        <v>0</v>
      </c>
    </row>
    <row r="690" spans="4:4" x14ac:dyDescent="0.25">
      <c r="D690" s="16">
        <f t="shared" si="10"/>
        <v>0</v>
      </c>
    </row>
    <row r="691" spans="4:4" x14ac:dyDescent="0.25">
      <c r="D691" s="16">
        <f t="shared" si="10"/>
        <v>0</v>
      </c>
    </row>
    <row r="692" spans="4:4" x14ac:dyDescent="0.25">
      <c r="D692" s="16">
        <f t="shared" si="10"/>
        <v>0</v>
      </c>
    </row>
    <row r="693" spans="4:4" x14ac:dyDescent="0.25">
      <c r="D693" s="16">
        <f t="shared" si="10"/>
        <v>0</v>
      </c>
    </row>
    <row r="694" spans="4:4" x14ac:dyDescent="0.25">
      <c r="D694" s="16">
        <f t="shared" si="10"/>
        <v>0</v>
      </c>
    </row>
    <row r="695" spans="4:4" x14ac:dyDescent="0.25">
      <c r="D695" s="16">
        <f t="shared" si="10"/>
        <v>0</v>
      </c>
    </row>
    <row r="696" spans="4:4" x14ac:dyDescent="0.25">
      <c r="D696" s="16">
        <f t="shared" si="10"/>
        <v>0</v>
      </c>
    </row>
    <row r="697" spans="4:4" x14ac:dyDescent="0.25">
      <c r="D697" s="16">
        <f t="shared" si="10"/>
        <v>0</v>
      </c>
    </row>
    <row r="698" spans="4:4" x14ac:dyDescent="0.25">
      <c r="D698" s="16">
        <f t="shared" si="10"/>
        <v>0</v>
      </c>
    </row>
    <row r="699" spans="4:4" x14ac:dyDescent="0.25">
      <c r="D699" s="16">
        <f t="shared" si="10"/>
        <v>0</v>
      </c>
    </row>
    <row r="700" spans="4:4" x14ac:dyDescent="0.25">
      <c r="D700" s="16">
        <f t="shared" si="10"/>
        <v>0</v>
      </c>
    </row>
    <row r="701" spans="4:4" x14ac:dyDescent="0.25">
      <c r="D701" s="16">
        <f t="shared" si="10"/>
        <v>0</v>
      </c>
    </row>
    <row r="702" spans="4:4" x14ac:dyDescent="0.25">
      <c r="D702" s="16">
        <f t="shared" si="10"/>
        <v>0</v>
      </c>
    </row>
    <row r="703" spans="4:4" x14ac:dyDescent="0.25">
      <c r="D703" s="16">
        <f t="shared" si="10"/>
        <v>0</v>
      </c>
    </row>
    <row r="704" spans="4:4" x14ac:dyDescent="0.25">
      <c r="D704" s="16">
        <f t="shared" si="10"/>
        <v>0</v>
      </c>
    </row>
    <row r="705" spans="4:4" x14ac:dyDescent="0.25">
      <c r="D705" s="16">
        <f t="shared" si="10"/>
        <v>0</v>
      </c>
    </row>
    <row r="706" spans="4:4" x14ac:dyDescent="0.25">
      <c r="D706" s="16">
        <f t="shared" si="10"/>
        <v>0</v>
      </c>
    </row>
    <row r="707" spans="4:4" x14ac:dyDescent="0.25">
      <c r="D707" s="16">
        <f t="shared" si="10"/>
        <v>0</v>
      </c>
    </row>
    <row r="708" spans="4:4" x14ac:dyDescent="0.25">
      <c r="D708" s="16">
        <f t="shared" si="10"/>
        <v>0</v>
      </c>
    </row>
    <row r="709" spans="4:4" x14ac:dyDescent="0.25">
      <c r="D709" s="16">
        <f t="shared" si="10"/>
        <v>0</v>
      </c>
    </row>
    <row r="710" spans="4:4" x14ac:dyDescent="0.25">
      <c r="D710" s="16">
        <f t="shared" si="10"/>
        <v>0</v>
      </c>
    </row>
    <row r="711" spans="4:4" x14ac:dyDescent="0.25">
      <c r="D711" s="16">
        <f t="shared" si="10"/>
        <v>0</v>
      </c>
    </row>
    <row r="712" spans="4:4" x14ac:dyDescent="0.25">
      <c r="D712" s="16">
        <f t="shared" si="10"/>
        <v>0</v>
      </c>
    </row>
    <row r="713" spans="4:4" x14ac:dyDescent="0.25">
      <c r="D713" s="16">
        <f t="shared" si="10"/>
        <v>0</v>
      </c>
    </row>
    <row r="714" spans="4:4" x14ac:dyDescent="0.25">
      <c r="D714" s="16">
        <f t="shared" si="10"/>
        <v>0</v>
      </c>
    </row>
    <row r="715" spans="4:4" x14ac:dyDescent="0.25">
      <c r="D715" s="16">
        <f t="shared" si="10"/>
        <v>0</v>
      </c>
    </row>
    <row r="716" spans="4:4" x14ac:dyDescent="0.25">
      <c r="D716" s="16">
        <f t="shared" si="10"/>
        <v>0</v>
      </c>
    </row>
    <row r="717" spans="4:4" x14ac:dyDescent="0.25">
      <c r="D717" s="16">
        <f t="shared" si="10"/>
        <v>0</v>
      </c>
    </row>
    <row r="718" spans="4:4" x14ac:dyDescent="0.25">
      <c r="D718" s="16">
        <f t="shared" si="10"/>
        <v>0</v>
      </c>
    </row>
    <row r="719" spans="4:4" x14ac:dyDescent="0.25">
      <c r="D719" s="16">
        <f t="shared" si="10"/>
        <v>0</v>
      </c>
    </row>
    <row r="720" spans="4:4" x14ac:dyDescent="0.25">
      <c r="D720" s="16">
        <f t="shared" si="10"/>
        <v>0</v>
      </c>
    </row>
    <row r="721" spans="4:4" x14ac:dyDescent="0.25">
      <c r="D721" s="16">
        <f t="shared" si="10"/>
        <v>0</v>
      </c>
    </row>
    <row r="722" spans="4:4" x14ac:dyDescent="0.25">
      <c r="D722" s="16">
        <f t="shared" si="10"/>
        <v>0</v>
      </c>
    </row>
    <row r="723" spans="4:4" x14ac:dyDescent="0.25">
      <c r="D723" s="16">
        <f t="shared" si="10"/>
        <v>0</v>
      </c>
    </row>
    <row r="724" spans="4:4" x14ac:dyDescent="0.25">
      <c r="D724" s="16">
        <f t="shared" si="10"/>
        <v>0</v>
      </c>
    </row>
    <row r="725" spans="4:4" x14ac:dyDescent="0.25">
      <c r="D725" s="16">
        <f t="shared" ref="D725:D788" si="11">B733+D726</f>
        <v>0</v>
      </c>
    </row>
    <row r="726" spans="4:4" x14ac:dyDescent="0.25">
      <c r="D726" s="16">
        <f t="shared" si="11"/>
        <v>0</v>
      </c>
    </row>
    <row r="727" spans="4:4" x14ac:dyDescent="0.25">
      <c r="D727" s="16">
        <f t="shared" si="11"/>
        <v>0</v>
      </c>
    </row>
    <row r="728" spans="4:4" x14ac:dyDescent="0.25">
      <c r="D728" s="16">
        <f t="shared" si="11"/>
        <v>0</v>
      </c>
    </row>
    <row r="729" spans="4:4" x14ac:dyDescent="0.25">
      <c r="D729" s="16">
        <f t="shared" si="11"/>
        <v>0</v>
      </c>
    </row>
    <row r="730" spans="4:4" x14ac:dyDescent="0.25">
      <c r="D730" s="16">
        <f t="shared" si="11"/>
        <v>0</v>
      </c>
    </row>
    <row r="731" spans="4:4" x14ac:dyDescent="0.25">
      <c r="D731" s="16">
        <f t="shared" si="11"/>
        <v>0</v>
      </c>
    </row>
    <row r="732" spans="4:4" x14ac:dyDescent="0.25">
      <c r="D732" s="16">
        <f t="shared" si="11"/>
        <v>0</v>
      </c>
    </row>
    <row r="733" spans="4:4" x14ac:dyDescent="0.25">
      <c r="D733" s="16">
        <f t="shared" si="11"/>
        <v>0</v>
      </c>
    </row>
    <row r="734" spans="4:4" x14ac:dyDescent="0.25">
      <c r="D734" s="16">
        <f t="shared" si="11"/>
        <v>0</v>
      </c>
    </row>
    <row r="735" spans="4:4" x14ac:dyDescent="0.25">
      <c r="D735" s="16">
        <f t="shared" si="11"/>
        <v>0</v>
      </c>
    </row>
    <row r="736" spans="4:4" x14ac:dyDescent="0.25">
      <c r="D736" s="16">
        <f t="shared" si="11"/>
        <v>0</v>
      </c>
    </row>
    <row r="737" spans="4:4" x14ac:dyDescent="0.25">
      <c r="D737" s="16">
        <f t="shared" si="11"/>
        <v>0</v>
      </c>
    </row>
    <row r="738" spans="4:4" x14ac:dyDescent="0.25">
      <c r="D738" s="16">
        <f t="shared" si="11"/>
        <v>0</v>
      </c>
    </row>
    <row r="739" spans="4:4" x14ac:dyDescent="0.25">
      <c r="D739" s="16">
        <f t="shared" si="11"/>
        <v>0</v>
      </c>
    </row>
    <row r="740" spans="4:4" x14ac:dyDescent="0.25">
      <c r="D740" s="16">
        <f t="shared" si="11"/>
        <v>0</v>
      </c>
    </row>
    <row r="741" spans="4:4" x14ac:dyDescent="0.25">
      <c r="D741" s="16">
        <f t="shared" si="11"/>
        <v>0</v>
      </c>
    </row>
    <row r="742" spans="4:4" x14ac:dyDescent="0.25">
      <c r="D742" s="16">
        <f t="shared" si="11"/>
        <v>0</v>
      </c>
    </row>
    <row r="743" spans="4:4" x14ac:dyDescent="0.25">
      <c r="D743" s="16">
        <f t="shared" si="11"/>
        <v>0</v>
      </c>
    </row>
    <row r="744" spans="4:4" x14ac:dyDescent="0.25">
      <c r="D744" s="16">
        <f t="shared" si="11"/>
        <v>0</v>
      </c>
    </row>
    <row r="745" spans="4:4" x14ac:dyDescent="0.25">
      <c r="D745" s="16">
        <f t="shared" si="11"/>
        <v>0</v>
      </c>
    </row>
    <row r="746" spans="4:4" x14ac:dyDescent="0.25">
      <c r="D746" s="16">
        <f t="shared" si="11"/>
        <v>0</v>
      </c>
    </row>
    <row r="747" spans="4:4" x14ac:dyDescent="0.25">
      <c r="D747" s="16">
        <f t="shared" si="11"/>
        <v>0</v>
      </c>
    </row>
    <row r="748" spans="4:4" x14ac:dyDescent="0.25">
      <c r="D748" s="16">
        <f t="shared" si="11"/>
        <v>0</v>
      </c>
    </row>
    <row r="749" spans="4:4" x14ac:dyDescent="0.25">
      <c r="D749" s="16">
        <f t="shared" si="11"/>
        <v>0</v>
      </c>
    </row>
    <row r="750" spans="4:4" x14ac:dyDescent="0.25">
      <c r="D750" s="16">
        <f t="shared" si="11"/>
        <v>0</v>
      </c>
    </row>
    <row r="751" spans="4:4" x14ac:dyDescent="0.25">
      <c r="D751" s="16">
        <f t="shared" si="11"/>
        <v>0</v>
      </c>
    </row>
    <row r="752" spans="4:4" x14ac:dyDescent="0.25">
      <c r="D752" s="16">
        <f t="shared" si="11"/>
        <v>0</v>
      </c>
    </row>
    <row r="753" spans="4:4" x14ac:dyDescent="0.25">
      <c r="D753" s="16">
        <f t="shared" si="11"/>
        <v>0</v>
      </c>
    </row>
    <row r="754" spans="4:4" x14ac:dyDescent="0.25">
      <c r="D754" s="16">
        <f t="shared" si="11"/>
        <v>0</v>
      </c>
    </row>
    <row r="755" spans="4:4" x14ac:dyDescent="0.25">
      <c r="D755" s="16">
        <f t="shared" si="11"/>
        <v>0</v>
      </c>
    </row>
    <row r="756" spans="4:4" x14ac:dyDescent="0.25">
      <c r="D756" s="16">
        <f t="shared" si="11"/>
        <v>0</v>
      </c>
    </row>
    <row r="757" spans="4:4" x14ac:dyDescent="0.25">
      <c r="D757" s="16">
        <f t="shared" si="11"/>
        <v>0</v>
      </c>
    </row>
    <row r="758" spans="4:4" x14ac:dyDescent="0.25">
      <c r="D758" s="16">
        <f t="shared" si="11"/>
        <v>0</v>
      </c>
    </row>
    <row r="759" spans="4:4" x14ac:dyDescent="0.25">
      <c r="D759" s="16">
        <f t="shared" si="11"/>
        <v>0</v>
      </c>
    </row>
    <row r="760" spans="4:4" x14ac:dyDescent="0.25">
      <c r="D760" s="16">
        <f t="shared" si="11"/>
        <v>0</v>
      </c>
    </row>
    <row r="761" spans="4:4" x14ac:dyDescent="0.25">
      <c r="D761" s="16">
        <f t="shared" si="11"/>
        <v>0</v>
      </c>
    </row>
    <row r="762" spans="4:4" x14ac:dyDescent="0.25">
      <c r="D762" s="16">
        <f t="shared" si="11"/>
        <v>0</v>
      </c>
    </row>
    <row r="763" spans="4:4" x14ac:dyDescent="0.25">
      <c r="D763" s="16">
        <f t="shared" si="11"/>
        <v>0</v>
      </c>
    </row>
    <row r="764" spans="4:4" x14ac:dyDescent="0.25">
      <c r="D764" s="16">
        <f t="shared" si="11"/>
        <v>0</v>
      </c>
    </row>
    <row r="765" spans="4:4" x14ac:dyDescent="0.25">
      <c r="D765" s="16">
        <f t="shared" si="11"/>
        <v>0</v>
      </c>
    </row>
    <row r="766" spans="4:4" x14ac:dyDescent="0.25">
      <c r="D766" s="16">
        <f t="shared" si="11"/>
        <v>0</v>
      </c>
    </row>
    <row r="767" spans="4:4" x14ac:dyDescent="0.25">
      <c r="D767" s="16">
        <f t="shared" si="11"/>
        <v>0</v>
      </c>
    </row>
    <row r="768" spans="4:4" x14ac:dyDescent="0.25">
      <c r="D768" s="16">
        <f t="shared" si="11"/>
        <v>0</v>
      </c>
    </row>
    <row r="769" spans="4:4" x14ac:dyDescent="0.25">
      <c r="D769" s="16">
        <f t="shared" si="11"/>
        <v>0</v>
      </c>
    </row>
    <row r="770" spans="4:4" x14ac:dyDescent="0.25">
      <c r="D770" s="16">
        <f t="shared" si="11"/>
        <v>0</v>
      </c>
    </row>
    <row r="771" spans="4:4" x14ac:dyDescent="0.25">
      <c r="D771" s="16">
        <f t="shared" si="11"/>
        <v>0</v>
      </c>
    </row>
    <row r="772" spans="4:4" x14ac:dyDescent="0.25">
      <c r="D772" s="16">
        <f t="shared" si="11"/>
        <v>0</v>
      </c>
    </row>
    <row r="773" spans="4:4" x14ac:dyDescent="0.25">
      <c r="D773" s="16">
        <f t="shared" si="11"/>
        <v>0</v>
      </c>
    </row>
    <row r="774" spans="4:4" x14ac:dyDescent="0.25">
      <c r="D774" s="16">
        <f t="shared" si="11"/>
        <v>0</v>
      </c>
    </row>
    <row r="775" spans="4:4" x14ac:dyDescent="0.25">
      <c r="D775" s="16">
        <f t="shared" si="11"/>
        <v>0</v>
      </c>
    </row>
    <row r="776" spans="4:4" x14ac:dyDescent="0.25">
      <c r="D776" s="16">
        <f t="shared" si="11"/>
        <v>0</v>
      </c>
    </row>
    <row r="777" spans="4:4" x14ac:dyDescent="0.25">
      <c r="D777" s="16">
        <f t="shared" si="11"/>
        <v>0</v>
      </c>
    </row>
    <row r="778" spans="4:4" x14ac:dyDescent="0.25">
      <c r="D778" s="16">
        <f t="shared" si="11"/>
        <v>0</v>
      </c>
    </row>
    <row r="779" spans="4:4" x14ac:dyDescent="0.25">
      <c r="D779" s="16">
        <f t="shared" si="11"/>
        <v>0</v>
      </c>
    </row>
    <row r="780" spans="4:4" x14ac:dyDescent="0.25">
      <c r="D780" s="16">
        <f t="shared" si="11"/>
        <v>0</v>
      </c>
    </row>
    <row r="781" spans="4:4" x14ac:dyDescent="0.25">
      <c r="D781" s="16">
        <f t="shared" si="11"/>
        <v>0</v>
      </c>
    </row>
    <row r="782" spans="4:4" x14ac:dyDescent="0.25">
      <c r="D782" s="16">
        <f t="shared" si="11"/>
        <v>0</v>
      </c>
    </row>
    <row r="783" spans="4:4" x14ac:dyDescent="0.25">
      <c r="D783" s="16">
        <f t="shared" si="11"/>
        <v>0</v>
      </c>
    </row>
    <row r="784" spans="4:4" x14ac:dyDescent="0.25">
      <c r="D784" s="16">
        <f t="shared" si="11"/>
        <v>0</v>
      </c>
    </row>
    <row r="785" spans="4:4" x14ac:dyDescent="0.25">
      <c r="D785" s="16">
        <f t="shared" si="11"/>
        <v>0</v>
      </c>
    </row>
    <row r="786" spans="4:4" x14ac:dyDescent="0.25">
      <c r="D786" s="16">
        <f t="shared" si="11"/>
        <v>0</v>
      </c>
    </row>
    <row r="787" spans="4:4" x14ac:dyDescent="0.25">
      <c r="D787" s="16">
        <f t="shared" si="11"/>
        <v>0</v>
      </c>
    </row>
    <row r="788" spans="4:4" x14ac:dyDescent="0.25">
      <c r="D788" s="16">
        <f t="shared" si="11"/>
        <v>0</v>
      </c>
    </row>
    <row r="789" spans="4:4" x14ac:dyDescent="0.25">
      <c r="D789" s="16">
        <f t="shared" ref="D789:D852" si="12">B797+D790</f>
        <v>0</v>
      </c>
    </row>
    <row r="790" spans="4:4" x14ac:dyDescent="0.25">
      <c r="D790" s="16">
        <f t="shared" si="12"/>
        <v>0</v>
      </c>
    </row>
    <row r="791" spans="4:4" x14ac:dyDescent="0.25">
      <c r="D791" s="16">
        <f t="shared" si="12"/>
        <v>0</v>
      </c>
    </row>
    <row r="792" spans="4:4" x14ac:dyDescent="0.25">
      <c r="D792" s="16">
        <f t="shared" si="12"/>
        <v>0</v>
      </c>
    </row>
    <row r="793" spans="4:4" x14ac:dyDescent="0.25">
      <c r="D793" s="16">
        <f t="shared" si="12"/>
        <v>0</v>
      </c>
    </row>
    <row r="794" spans="4:4" x14ac:dyDescent="0.25">
      <c r="D794" s="16">
        <f t="shared" si="12"/>
        <v>0</v>
      </c>
    </row>
    <row r="795" spans="4:4" x14ac:dyDescent="0.25">
      <c r="D795" s="16">
        <f t="shared" si="12"/>
        <v>0</v>
      </c>
    </row>
    <row r="796" spans="4:4" x14ac:dyDescent="0.25">
      <c r="D796" s="16">
        <f t="shared" si="12"/>
        <v>0</v>
      </c>
    </row>
    <row r="797" spans="4:4" x14ac:dyDescent="0.25">
      <c r="D797" s="16">
        <f t="shared" si="12"/>
        <v>0</v>
      </c>
    </row>
    <row r="798" spans="4:4" x14ac:dyDescent="0.25">
      <c r="D798" s="16">
        <f t="shared" si="12"/>
        <v>0</v>
      </c>
    </row>
    <row r="799" spans="4:4" x14ac:dyDescent="0.25">
      <c r="D799" s="16">
        <f t="shared" si="12"/>
        <v>0</v>
      </c>
    </row>
    <row r="800" spans="4:4" x14ac:dyDescent="0.25">
      <c r="D800" s="16">
        <f t="shared" si="12"/>
        <v>0</v>
      </c>
    </row>
    <row r="801" spans="4:4" x14ac:dyDescent="0.25">
      <c r="D801" s="16">
        <f t="shared" si="12"/>
        <v>0</v>
      </c>
    </row>
    <row r="802" spans="4:4" x14ac:dyDescent="0.25">
      <c r="D802" s="16">
        <f t="shared" si="12"/>
        <v>0</v>
      </c>
    </row>
    <row r="803" spans="4:4" x14ac:dyDescent="0.25">
      <c r="D803" s="16">
        <f t="shared" si="12"/>
        <v>0</v>
      </c>
    </row>
    <row r="804" spans="4:4" x14ac:dyDescent="0.25">
      <c r="D804" s="16">
        <f t="shared" si="12"/>
        <v>0</v>
      </c>
    </row>
    <row r="805" spans="4:4" x14ac:dyDescent="0.25">
      <c r="D805" s="16">
        <f t="shared" si="12"/>
        <v>0</v>
      </c>
    </row>
    <row r="806" spans="4:4" x14ac:dyDescent="0.25">
      <c r="D806" s="16">
        <f t="shared" si="12"/>
        <v>0</v>
      </c>
    </row>
    <row r="807" spans="4:4" x14ac:dyDescent="0.25">
      <c r="D807" s="16">
        <f t="shared" si="12"/>
        <v>0</v>
      </c>
    </row>
    <row r="808" spans="4:4" x14ac:dyDescent="0.25">
      <c r="D808" s="16">
        <f t="shared" si="12"/>
        <v>0</v>
      </c>
    </row>
    <row r="809" spans="4:4" x14ac:dyDescent="0.25">
      <c r="D809" s="16">
        <f t="shared" si="12"/>
        <v>0</v>
      </c>
    </row>
    <row r="810" spans="4:4" x14ac:dyDescent="0.25">
      <c r="D810" s="16">
        <f t="shared" si="12"/>
        <v>0</v>
      </c>
    </row>
    <row r="811" spans="4:4" x14ac:dyDescent="0.25">
      <c r="D811" s="16">
        <f t="shared" si="12"/>
        <v>0</v>
      </c>
    </row>
    <row r="812" spans="4:4" x14ac:dyDescent="0.25">
      <c r="D812" s="16">
        <f t="shared" si="12"/>
        <v>0</v>
      </c>
    </row>
    <row r="813" spans="4:4" x14ac:dyDescent="0.25">
      <c r="D813" s="16">
        <f t="shared" si="12"/>
        <v>0</v>
      </c>
    </row>
    <row r="814" spans="4:4" x14ac:dyDescent="0.25">
      <c r="D814" s="16">
        <f t="shared" si="12"/>
        <v>0</v>
      </c>
    </row>
    <row r="815" spans="4:4" x14ac:dyDescent="0.25">
      <c r="D815" s="16">
        <f t="shared" si="12"/>
        <v>0</v>
      </c>
    </row>
    <row r="816" spans="4:4" x14ac:dyDescent="0.25">
      <c r="D816" s="16">
        <f t="shared" si="12"/>
        <v>0</v>
      </c>
    </row>
    <row r="817" spans="4:4" x14ac:dyDescent="0.25">
      <c r="D817" s="16">
        <f t="shared" si="12"/>
        <v>0</v>
      </c>
    </row>
    <row r="818" spans="4:4" x14ac:dyDescent="0.25">
      <c r="D818" s="16">
        <f t="shared" si="12"/>
        <v>0</v>
      </c>
    </row>
    <row r="819" spans="4:4" x14ac:dyDescent="0.25">
      <c r="D819" s="16">
        <f t="shared" si="12"/>
        <v>0</v>
      </c>
    </row>
    <row r="820" spans="4:4" x14ac:dyDescent="0.25">
      <c r="D820" s="16">
        <f t="shared" si="12"/>
        <v>0</v>
      </c>
    </row>
    <row r="821" spans="4:4" x14ac:dyDescent="0.25">
      <c r="D821" s="16">
        <f t="shared" si="12"/>
        <v>0</v>
      </c>
    </row>
    <row r="822" spans="4:4" x14ac:dyDescent="0.25">
      <c r="D822" s="16">
        <f t="shared" si="12"/>
        <v>0</v>
      </c>
    </row>
    <row r="823" spans="4:4" x14ac:dyDescent="0.25">
      <c r="D823" s="16">
        <f t="shared" si="12"/>
        <v>0</v>
      </c>
    </row>
    <row r="824" spans="4:4" x14ac:dyDescent="0.25">
      <c r="D824" s="16">
        <f t="shared" si="12"/>
        <v>0</v>
      </c>
    </row>
    <row r="825" spans="4:4" x14ac:dyDescent="0.25">
      <c r="D825" s="16">
        <f t="shared" si="12"/>
        <v>0</v>
      </c>
    </row>
    <row r="826" spans="4:4" x14ac:dyDescent="0.25">
      <c r="D826" s="16">
        <f t="shared" si="12"/>
        <v>0</v>
      </c>
    </row>
    <row r="827" spans="4:4" x14ac:dyDescent="0.25">
      <c r="D827" s="16">
        <f t="shared" si="12"/>
        <v>0</v>
      </c>
    </row>
    <row r="828" spans="4:4" x14ac:dyDescent="0.25">
      <c r="D828" s="16">
        <f t="shared" si="12"/>
        <v>0</v>
      </c>
    </row>
    <row r="829" spans="4:4" x14ac:dyDescent="0.25">
      <c r="D829" s="16">
        <f t="shared" si="12"/>
        <v>0</v>
      </c>
    </row>
    <row r="830" spans="4:4" x14ac:dyDescent="0.25">
      <c r="D830" s="16">
        <f t="shared" si="12"/>
        <v>0</v>
      </c>
    </row>
    <row r="831" spans="4:4" x14ac:dyDescent="0.25">
      <c r="D831" s="16">
        <f t="shared" si="12"/>
        <v>0</v>
      </c>
    </row>
    <row r="832" spans="4:4" x14ac:dyDescent="0.25">
      <c r="D832" s="16">
        <f t="shared" si="12"/>
        <v>0</v>
      </c>
    </row>
    <row r="833" spans="4:4" x14ac:dyDescent="0.25">
      <c r="D833" s="16">
        <f t="shared" si="12"/>
        <v>0</v>
      </c>
    </row>
    <row r="834" spans="4:4" x14ac:dyDescent="0.25">
      <c r="D834" s="16">
        <f t="shared" si="12"/>
        <v>0</v>
      </c>
    </row>
    <row r="835" spans="4:4" x14ac:dyDescent="0.25">
      <c r="D835" s="16">
        <f t="shared" si="12"/>
        <v>0</v>
      </c>
    </row>
    <row r="836" spans="4:4" x14ac:dyDescent="0.25">
      <c r="D836" s="16">
        <f t="shared" si="12"/>
        <v>0</v>
      </c>
    </row>
    <row r="837" spans="4:4" x14ac:dyDescent="0.25">
      <c r="D837" s="16">
        <f t="shared" si="12"/>
        <v>0</v>
      </c>
    </row>
    <row r="838" spans="4:4" x14ac:dyDescent="0.25">
      <c r="D838" s="16">
        <f t="shared" si="12"/>
        <v>0</v>
      </c>
    </row>
    <row r="839" spans="4:4" x14ac:dyDescent="0.25">
      <c r="D839" s="16">
        <f t="shared" si="12"/>
        <v>0</v>
      </c>
    </row>
    <row r="840" spans="4:4" x14ac:dyDescent="0.25">
      <c r="D840" s="16">
        <f t="shared" si="12"/>
        <v>0</v>
      </c>
    </row>
    <row r="841" spans="4:4" x14ac:dyDescent="0.25">
      <c r="D841" s="16">
        <f t="shared" si="12"/>
        <v>0</v>
      </c>
    </row>
    <row r="842" spans="4:4" x14ac:dyDescent="0.25">
      <c r="D842" s="16">
        <f t="shared" si="12"/>
        <v>0</v>
      </c>
    </row>
    <row r="843" spans="4:4" x14ac:dyDescent="0.25">
      <c r="D843" s="16">
        <f t="shared" si="12"/>
        <v>0</v>
      </c>
    </row>
    <row r="844" spans="4:4" x14ac:dyDescent="0.25">
      <c r="D844" s="16">
        <f t="shared" si="12"/>
        <v>0</v>
      </c>
    </row>
    <row r="845" spans="4:4" x14ac:dyDescent="0.25">
      <c r="D845" s="16">
        <f t="shared" si="12"/>
        <v>0</v>
      </c>
    </row>
    <row r="846" spans="4:4" x14ac:dyDescent="0.25">
      <c r="D846" s="16">
        <f t="shared" si="12"/>
        <v>0</v>
      </c>
    </row>
    <row r="847" spans="4:4" x14ac:dyDescent="0.25">
      <c r="D847" s="16">
        <f t="shared" si="12"/>
        <v>0</v>
      </c>
    </row>
    <row r="848" spans="4:4" x14ac:dyDescent="0.25">
      <c r="D848" s="16">
        <f t="shared" si="12"/>
        <v>0</v>
      </c>
    </row>
    <row r="849" spans="4:4" x14ac:dyDescent="0.25">
      <c r="D849" s="16">
        <f t="shared" si="12"/>
        <v>0</v>
      </c>
    </row>
    <row r="850" spans="4:4" x14ac:dyDescent="0.25">
      <c r="D850" s="16">
        <f t="shared" si="12"/>
        <v>0</v>
      </c>
    </row>
    <row r="851" spans="4:4" x14ac:dyDescent="0.25">
      <c r="D851" s="16">
        <f t="shared" si="12"/>
        <v>0</v>
      </c>
    </row>
    <row r="852" spans="4:4" x14ac:dyDescent="0.25">
      <c r="D852" s="16">
        <f t="shared" si="12"/>
        <v>0</v>
      </c>
    </row>
    <row r="853" spans="4:4" x14ac:dyDescent="0.25">
      <c r="D853" s="16">
        <f t="shared" ref="D853:D916" si="13">B861+D854</f>
        <v>0</v>
      </c>
    </row>
    <row r="854" spans="4:4" x14ac:dyDescent="0.25">
      <c r="D854" s="16">
        <f t="shared" si="13"/>
        <v>0</v>
      </c>
    </row>
    <row r="855" spans="4:4" x14ac:dyDescent="0.25">
      <c r="D855" s="16">
        <f t="shared" si="13"/>
        <v>0</v>
      </c>
    </row>
    <row r="856" spans="4:4" x14ac:dyDescent="0.25">
      <c r="D856" s="16">
        <f t="shared" si="13"/>
        <v>0</v>
      </c>
    </row>
    <row r="857" spans="4:4" x14ac:dyDescent="0.25">
      <c r="D857" s="16">
        <f t="shared" si="13"/>
        <v>0</v>
      </c>
    </row>
    <row r="858" spans="4:4" x14ac:dyDescent="0.25">
      <c r="D858" s="16">
        <f t="shared" si="13"/>
        <v>0</v>
      </c>
    </row>
    <row r="859" spans="4:4" x14ac:dyDescent="0.25">
      <c r="D859" s="16">
        <f t="shared" si="13"/>
        <v>0</v>
      </c>
    </row>
    <row r="860" spans="4:4" x14ac:dyDescent="0.25">
      <c r="D860" s="16">
        <f t="shared" si="13"/>
        <v>0</v>
      </c>
    </row>
    <row r="861" spans="4:4" x14ac:dyDescent="0.25">
      <c r="D861" s="16">
        <f t="shared" si="13"/>
        <v>0</v>
      </c>
    </row>
    <row r="862" spans="4:4" x14ac:dyDescent="0.25">
      <c r="D862" s="16">
        <f t="shared" si="13"/>
        <v>0</v>
      </c>
    </row>
    <row r="863" spans="4:4" x14ac:dyDescent="0.25">
      <c r="D863" s="16">
        <f t="shared" si="13"/>
        <v>0</v>
      </c>
    </row>
    <row r="864" spans="4:4" x14ac:dyDescent="0.25">
      <c r="D864" s="16">
        <f t="shared" si="13"/>
        <v>0</v>
      </c>
    </row>
    <row r="865" spans="4:4" x14ac:dyDescent="0.25">
      <c r="D865" s="16">
        <f t="shared" si="13"/>
        <v>0</v>
      </c>
    </row>
    <row r="866" spans="4:4" x14ac:dyDescent="0.25">
      <c r="D866" s="16">
        <f t="shared" si="13"/>
        <v>0</v>
      </c>
    </row>
    <row r="867" spans="4:4" x14ac:dyDescent="0.25">
      <c r="D867" s="16">
        <f t="shared" si="13"/>
        <v>0</v>
      </c>
    </row>
    <row r="868" spans="4:4" x14ac:dyDescent="0.25">
      <c r="D868" s="16">
        <f t="shared" si="13"/>
        <v>0</v>
      </c>
    </row>
    <row r="869" spans="4:4" x14ac:dyDescent="0.25">
      <c r="D869" s="16">
        <f t="shared" si="13"/>
        <v>0</v>
      </c>
    </row>
    <row r="870" spans="4:4" x14ac:dyDescent="0.25">
      <c r="D870" s="16">
        <f t="shared" si="13"/>
        <v>0</v>
      </c>
    </row>
    <row r="871" spans="4:4" x14ac:dyDescent="0.25">
      <c r="D871" s="16">
        <f t="shared" si="13"/>
        <v>0</v>
      </c>
    </row>
    <row r="872" spans="4:4" x14ac:dyDescent="0.25">
      <c r="D872" s="16">
        <f t="shared" si="13"/>
        <v>0</v>
      </c>
    </row>
    <row r="873" spans="4:4" x14ac:dyDescent="0.25">
      <c r="D873" s="16">
        <f t="shared" si="13"/>
        <v>0</v>
      </c>
    </row>
    <row r="874" spans="4:4" x14ac:dyDescent="0.25">
      <c r="D874" s="16">
        <f t="shared" si="13"/>
        <v>0</v>
      </c>
    </row>
    <row r="875" spans="4:4" x14ac:dyDescent="0.25">
      <c r="D875" s="16">
        <f t="shared" si="13"/>
        <v>0</v>
      </c>
    </row>
    <row r="876" spans="4:4" x14ac:dyDescent="0.25">
      <c r="D876" s="16">
        <f t="shared" si="13"/>
        <v>0</v>
      </c>
    </row>
    <row r="877" spans="4:4" x14ac:dyDescent="0.25">
      <c r="D877" s="16">
        <f t="shared" si="13"/>
        <v>0</v>
      </c>
    </row>
    <row r="878" spans="4:4" x14ac:dyDescent="0.25">
      <c r="D878" s="16">
        <f t="shared" si="13"/>
        <v>0</v>
      </c>
    </row>
    <row r="879" spans="4:4" x14ac:dyDescent="0.25">
      <c r="D879" s="16">
        <f t="shared" si="13"/>
        <v>0</v>
      </c>
    </row>
    <row r="880" spans="4:4" x14ac:dyDescent="0.25">
      <c r="D880" s="16">
        <f t="shared" si="13"/>
        <v>0</v>
      </c>
    </row>
    <row r="881" spans="4:4" x14ac:dyDescent="0.25">
      <c r="D881" s="16">
        <f t="shared" si="13"/>
        <v>0</v>
      </c>
    </row>
    <row r="882" spans="4:4" x14ac:dyDescent="0.25">
      <c r="D882" s="16">
        <f t="shared" si="13"/>
        <v>0</v>
      </c>
    </row>
    <row r="883" spans="4:4" x14ac:dyDescent="0.25">
      <c r="D883" s="16">
        <f t="shared" si="13"/>
        <v>0</v>
      </c>
    </row>
    <row r="884" spans="4:4" x14ac:dyDescent="0.25">
      <c r="D884" s="16">
        <f t="shared" si="13"/>
        <v>0</v>
      </c>
    </row>
    <row r="885" spans="4:4" x14ac:dyDescent="0.25">
      <c r="D885" s="16">
        <f t="shared" si="13"/>
        <v>0</v>
      </c>
    </row>
    <row r="886" spans="4:4" x14ac:dyDescent="0.25">
      <c r="D886" s="16">
        <f t="shared" si="13"/>
        <v>0</v>
      </c>
    </row>
    <row r="887" spans="4:4" x14ac:dyDescent="0.25">
      <c r="D887" s="16">
        <f t="shared" si="13"/>
        <v>0</v>
      </c>
    </row>
    <row r="888" spans="4:4" x14ac:dyDescent="0.25">
      <c r="D888" s="16">
        <f t="shared" si="13"/>
        <v>0</v>
      </c>
    </row>
    <row r="889" spans="4:4" x14ac:dyDescent="0.25">
      <c r="D889" s="16">
        <f t="shared" si="13"/>
        <v>0</v>
      </c>
    </row>
    <row r="890" spans="4:4" x14ac:dyDescent="0.25">
      <c r="D890" s="16">
        <f t="shared" si="13"/>
        <v>0</v>
      </c>
    </row>
    <row r="891" spans="4:4" x14ac:dyDescent="0.25">
      <c r="D891" s="16">
        <f t="shared" si="13"/>
        <v>0</v>
      </c>
    </row>
    <row r="892" spans="4:4" x14ac:dyDescent="0.25">
      <c r="D892" s="16">
        <f t="shared" si="13"/>
        <v>0</v>
      </c>
    </row>
    <row r="893" spans="4:4" x14ac:dyDescent="0.25">
      <c r="D893" s="16">
        <f t="shared" si="13"/>
        <v>0</v>
      </c>
    </row>
    <row r="894" spans="4:4" x14ac:dyDescent="0.25">
      <c r="D894" s="16">
        <f t="shared" si="13"/>
        <v>0</v>
      </c>
    </row>
    <row r="895" spans="4:4" x14ac:dyDescent="0.25">
      <c r="D895" s="16">
        <f t="shared" si="13"/>
        <v>0</v>
      </c>
    </row>
    <row r="896" spans="4:4" x14ac:dyDescent="0.25">
      <c r="D896" s="16">
        <f t="shared" si="13"/>
        <v>0</v>
      </c>
    </row>
    <row r="897" spans="4:4" x14ac:dyDescent="0.25">
      <c r="D897" s="16">
        <f t="shared" si="13"/>
        <v>0</v>
      </c>
    </row>
    <row r="898" spans="4:4" x14ac:dyDescent="0.25">
      <c r="D898" s="16">
        <f t="shared" si="13"/>
        <v>0</v>
      </c>
    </row>
    <row r="899" spans="4:4" x14ac:dyDescent="0.25">
      <c r="D899" s="16">
        <f t="shared" si="13"/>
        <v>0</v>
      </c>
    </row>
    <row r="900" spans="4:4" x14ac:dyDescent="0.25">
      <c r="D900" s="16">
        <f t="shared" si="13"/>
        <v>0</v>
      </c>
    </row>
    <row r="901" spans="4:4" x14ac:dyDescent="0.25">
      <c r="D901" s="16">
        <f t="shared" si="13"/>
        <v>0</v>
      </c>
    </row>
    <row r="902" spans="4:4" x14ac:dyDescent="0.25">
      <c r="D902" s="16">
        <f t="shared" si="13"/>
        <v>0</v>
      </c>
    </row>
    <row r="903" spans="4:4" x14ac:dyDescent="0.25">
      <c r="D903" s="16">
        <f t="shared" si="13"/>
        <v>0</v>
      </c>
    </row>
    <row r="904" spans="4:4" x14ac:dyDescent="0.25">
      <c r="D904" s="16">
        <f t="shared" si="13"/>
        <v>0</v>
      </c>
    </row>
    <row r="905" spans="4:4" x14ac:dyDescent="0.25">
      <c r="D905" s="16">
        <f t="shared" si="13"/>
        <v>0</v>
      </c>
    </row>
    <row r="906" spans="4:4" x14ac:dyDescent="0.25">
      <c r="D906" s="16">
        <f t="shared" si="13"/>
        <v>0</v>
      </c>
    </row>
    <row r="907" spans="4:4" x14ac:dyDescent="0.25">
      <c r="D907" s="16">
        <f t="shared" si="13"/>
        <v>0</v>
      </c>
    </row>
    <row r="908" spans="4:4" x14ac:dyDescent="0.25">
      <c r="D908" s="16">
        <f t="shared" si="13"/>
        <v>0</v>
      </c>
    </row>
    <row r="909" spans="4:4" x14ac:dyDescent="0.25">
      <c r="D909" s="16">
        <f t="shared" si="13"/>
        <v>0</v>
      </c>
    </row>
    <row r="910" spans="4:4" x14ac:dyDescent="0.25">
      <c r="D910" s="16">
        <f t="shared" si="13"/>
        <v>0</v>
      </c>
    </row>
    <row r="911" spans="4:4" x14ac:dyDescent="0.25">
      <c r="D911" s="16">
        <f t="shared" si="13"/>
        <v>0</v>
      </c>
    </row>
    <row r="912" spans="4:4" x14ac:dyDescent="0.25">
      <c r="D912" s="16">
        <f t="shared" si="13"/>
        <v>0</v>
      </c>
    </row>
    <row r="913" spans="4:4" x14ac:dyDescent="0.25">
      <c r="D913" s="16">
        <f t="shared" si="13"/>
        <v>0</v>
      </c>
    </row>
    <row r="914" spans="4:4" x14ac:dyDescent="0.25">
      <c r="D914" s="16">
        <f t="shared" si="13"/>
        <v>0</v>
      </c>
    </row>
    <row r="915" spans="4:4" x14ac:dyDescent="0.25">
      <c r="D915" s="16">
        <f t="shared" si="13"/>
        <v>0</v>
      </c>
    </row>
    <row r="916" spans="4:4" x14ac:dyDescent="0.25">
      <c r="D916" s="16">
        <f t="shared" si="13"/>
        <v>0</v>
      </c>
    </row>
    <row r="917" spans="4:4" x14ac:dyDescent="0.25">
      <c r="D917" s="16">
        <f t="shared" ref="D917:D958" si="14">B925+D918</f>
        <v>0</v>
      </c>
    </row>
    <row r="918" spans="4:4" x14ac:dyDescent="0.25">
      <c r="D918" s="16">
        <f t="shared" si="14"/>
        <v>0</v>
      </c>
    </row>
    <row r="919" spans="4:4" x14ac:dyDescent="0.25">
      <c r="D919" s="16">
        <f t="shared" si="14"/>
        <v>0</v>
      </c>
    </row>
    <row r="920" spans="4:4" x14ac:dyDescent="0.25">
      <c r="D920" s="16">
        <f t="shared" si="14"/>
        <v>0</v>
      </c>
    </row>
    <row r="921" spans="4:4" x14ac:dyDescent="0.25">
      <c r="D921" s="16">
        <f t="shared" si="14"/>
        <v>0</v>
      </c>
    </row>
    <row r="922" spans="4:4" x14ac:dyDescent="0.25">
      <c r="D922" s="16">
        <f t="shared" si="14"/>
        <v>0</v>
      </c>
    </row>
    <row r="923" spans="4:4" x14ac:dyDescent="0.25">
      <c r="D923" s="16">
        <f t="shared" si="14"/>
        <v>0</v>
      </c>
    </row>
    <row r="924" spans="4:4" x14ac:dyDescent="0.25">
      <c r="D924" s="16">
        <f t="shared" si="14"/>
        <v>0</v>
      </c>
    </row>
    <row r="925" spans="4:4" x14ac:dyDescent="0.25">
      <c r="D925" s="16">
        <f t="shared" si="14"/>
        <v>0</v>
      </c>
    </row>
    <row r="926" spans="4:4" x14ac:dyDescent="0.25">
      <c r="D926" s="16">
        <f t="shared" si="14"/>
        <v>0</v>
      </c>
    </row>
    <row r="927" spans="4:4" x14ac:dyDescent="0.25">
      <c r="D927" s="16">
        <f t="shared" si="14"/>
        <v>0</v>
      </c>
    </row>
    <row r="928" spans="4:4" x14ac:dyDescent="0.25">
      <c r="D928" s="16">
        <f t="shared" si="14"/>
        <v>0</v>
      </c>
    </row>
    <row r="929" spans="4:4" x14ac:dyDescent="0.25">
      <c r="D929" s="16">
        <f t="shared" si="14"/>
        <v>0</v>
      </c>
    </row>
    <row r="930" spans="4:4" x14ac:dyDescent="0.25">
      <c r="D930" s="16">
        <f t="shared" si="14"/>
        <v>0</v>
      </c>
    </row>
    <row r="931" spans="4:4" x14ac:dyDescent="0.25">
      <c r="D931" s="16">
        <f t="shared" si="14"/>
        <v>0</v>
      </c>
    </row>
    <row r="932" spans="4:4" x14ac:dyDescent="0.25">
      <c r="D932" s="16">
        <f t="shared" si="14"/>
        <v>0</v>
      </c>
    </row>
    <row r="933" spans="4:4" x14ac:dyDescent="0.25">
      <c r="D933" s="16">
        <f t="shared" si="14"/>
        <v>0</v>
      </c>
    </row>
    <row r="934" spans="4:4" x14ac:dyDescent="0.25">
      <c r="D934" s="16">
        <f t="shared" si="14"/>
        <v>0</v>
      </c>
    </row>
    <row r="935" spans="4:4" x14ac:dyDescent="0.25">
      <c r="D935" s="16">
        <f t="shared" si="14"/>
        <v>0</v>
      </c>
    </row>
    <row r="936" spans="4:4" x14ac:dyDescent="0.25">
      <c r="D936" s="16">
        <f t="shared" si="14"/>
        <v>0</v>
      </c>
    </row>
    <row r="937" spans="4:4" x14ac:dyDescent="0.25">
      <c r="D937" s="16">
        <f t="shared" si="14"/>
        <v>0</v>
      </c>
    </row>
    <row r="938" spans="4:4" x14ac:dyDescent="0.25">
      <c r="D938" s="16">
        <f t="shared" si="14"/>
        <v>0</v>
      </c>
    </row>
    <row r="939" spans="4:4" x14ac:dyDescent="0.25">
      <c r="D939" s="16">
        <f t="shared" si="14"/>
        <v>0</v>
      </c>
    </row>
    <row r="940" spans="4:4" x14ac:dyDescent="0.25">
      <c r="D940" s="16">
        <f t="shared" si="14"/>
        <v>0</v>
      </c>
    </row>
    <row r="941" spans="4:4" x14ac:dyDescent="0.25">
      <c r="D941" s="16">
        <f t="shared" si="14"/>
        <v>0</v>
      </c>
    </row>
    <row r="942" spans="4:4" x14ac:dyDescent="0.25">
      <c r="D942" s="16">
        <f t="shared" si="14"/>
        <v>0</v>
      </c>
    </row>
    <row r="943" spans="4:4" x14ac:dyDescent="0.25">
      <c r="D943" s="16">
        <f t="shared" si="14"/>
        <v>0</v>
      </c>
    </row>
    <row r="944" spans="4:4" x14ac:dyDescent="0.25">
      <c r="D944" s="16">
        <f t="shared" si="14"/>
        <v>0</v>
      </c>
    </row>
    <row r="945" spans="4:4" x14ac:dyDescent="0.25">
      <c r="D945" s="16">
        <f t="shared" si="14"/>
        <v>0</v>
      </c>
    </row>
    <row r="946" spans="4:4" x14ac:dyDescent="0.25">
      <c r="D946" s="16">
        <f t="shared" si="14"/>
        <v>0</v>
      </c>
    </row>
    <row r="947" spans="4:4" x14ac:dyDescent="0.25">
      <c r="D947" s="16">
        <f t="shared" si="14"/>
        <v>0</v>
      </c>
    </row>
    <row r="948" spans="4:4" x14ac:dyDescent="0.25">
      <c r="D948" s="16">
        <f t="shared" si="14"/>
        <v>0</v>
      </c>
    </row>
    <row r="949" spans="4:4" x14ac:dyDescent="0.25">
      <c r="D949" s="16">
        <f t="shared" si="14"/>
        <v>0</v>
      </c>
    </row>
    <row r="950" spans="4:4" x14ac:dyDescent="0.25">
      <c r="D950" s="16">
        <f t="shared" si="14"/>
        <v>0</v>
      </c>
    </row>
    <row r="951" spans="4:4" x14ac:dyDescent="0.25">
      <c r="D951" s="16">
        <f t="shared" si="14"/>
        <v>0</v>
      </c>
    </row>
    <row r="952" spans="4:4" x14ac:dyDescent="0.25">
      <c r="D952" s="16">
        <f t="shared" si="14"/>
        <v>0</v>
      </c>
    </row>
    <row r="953" spans="4:4" x14ac:dyDescent="0.25">
      <c r="D953" s="16">
        <f t="shared" si="14"/>
        <v>0</v>
      </c>
    </row>
    <row r="954" spans="4:4" x14ac:dyDescent="0.25">
      <c r="D954" s="16">
        <f t="shared" si="14"/>
        <v>0</v>
      </c>
    </row>
    <row r="955" spans="4:4" x14ac:dyDescent="0.25">
      <c r="D955" s="16">
        <f t="shared" si="14"/>
        <v>0</v>
      </c>
    </row>
    <row r="956" spans="4:4" x14ac:dyDescent="0.25">
      <c r="D956" s="16">
        <f t="shared" si="14"/>
        <v>0</v>
      </c>
    </row>
    <row r="957" spans="4:4" x14ac:dyDescent="0.25">
      <c r="D957" s="16">
        <f t="shared" si="14"/>
        <v>0</v>
      </c>
    </row>
    <row r="958" spans="4:4" x14ac:dyDescent="0.25">
      <c r="D958" s="16">
        <f t="shared" si="14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TOTALES</vt:lpstr>
      <vt:lpstr>Gastos</vt:lpstr>
      <vt:lpstr>Ingreso</vt:lpstr>
      <vt:lpstr>Provisión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Noguero Jimenez</dc:creator>
  <cp:lastModifiedBy>Marcos Noguero Jimenez</cp:lastModifiedBy>
  <cp:lastPrinted>2024-08-22T21:47:00Z</cp:lastPrinted>
  <dcterms:created xsi:type="dcterms:W3CDTF">2024-05-25T22:24:45Z</dcterms:created>
  <dcterms:modified xsi:type="dcterms:W3CDTF">2025-07-29T18:01:38Z</dcterms:modified>
</cp:coreProperties>
</file>